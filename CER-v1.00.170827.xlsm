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00CF4601-37BD-836D-55AB-7E336CB4BC7A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Desktop\Google Drive\Work\4by4\3. Info\CER\"/>
    </mc:Choice>
  </mc:AlternateContent>
  <bookViews>
    <workbookView xWindow="0" yWindow="0" windowWidth="28800" windowHeight="12300" firstSheet="1" activeTab="2"/>
  </bookViews>
  <sheets>
    <sheet name="Служебный" sheetId="5" state="hidden" r:id="rId1"/>
    <sheet name="Лист согласования" sheetId="10" r:id="rId2"/>
    <sheet name="Расчёт закупки" sheetId="4" r:id="rId3"/>
    <sheet name="Расчёт продажи" sheetId="3" r:id="rId4"/>
    <sheet name="WHAT'S NEW" sheetId="11" r:id="rId5"/>
  </sheets>
  <functionGroups builtInGroupCount="18"/>
  <definedNames>
    <definedName name="_xlnm._FilterDatabase" localSheetId="2" hidden="1">'Расчёт закупки'!$A$15:$Z$112</definedName>
    <definedName name="GPL">Расчёт[[#Totals],[8
Сумма GPL]]</definedName>
    <definedName name="валюта">Служебный!$A$2:$A$4</definedName>
    <definedName name="валюта_кп">Служебный!$I$2:$I$4</definedName>
    <definedName name="валюта_расчёта">'Расчёт закупки'!$E$4</definedName>
    <definedName name="вес">Расчёт[[#Totals],[17
Всего]]</definedName>
    <definedName name="включить_НДС">'Расчёт закупки'!$E$5</definedName>
    <definedName name="включить_транспортные_расходы">'Расчёт закупки'!$E$6</definedName>
    <definedName name="выручка">'Расчёт продажи'!$I$100</definedName>
    <definedName name="дата_текущего_курса">'Расчёт закупки'!$G$8</definedName>
    <definedName name="динамика_курса_EUR">Служебный!$O$2:$O$11</definedName>
    <definedName name="динамика_курса_USD">Служебный!$N$2:$N$11</definedName>
    <definedName name="ед_изм">Служебный!$L$2:$L$9</definedName>
    <definedName name="источник">Служебный!$K$2:$K$3</definedName>
    <definedName name="контрагент">'Расчёт закупки'!$C$4</definedName>
    <definedName name="курс_EUR_расчётный">'Расчёт закупки'!$H$6</definedName>
    <definedName name="курс_EUR_ЦБ">'Расчёт закупки'!$H$10</definedName>
    <definedName name="курс_USD_расчётный">'Расчёт закупки'!$H$5</definedName>
    <definedName name="курс_USD_ЦБ">'Расчёт закупки'!$H$9</definedName>
    <definedName name="менеджеры">Служебный!$P$2:$P$15</definedName>
    <definedName name="менеджеры_должность">Служебный!$Q$2:$Q$15</definedName>
    <definedName name="НДС">Служебный!$E$2:$E$4</definedName>
    <definedName name="обеспечение">'Лист согласования'!$G$63</definedName>
    <definedName name="обеспечение_область">'Лист согласования'!$A$62:$N$68</definedName>
    <definedName name="объём">Расчёт[[#Totals],[19
Всего]]</definedName>
    <definedName name="отдел_закупок">Служебный!$S$2:$S$3</definedName>
    <definedName name="прибыль">Служебный!$J$2:$J$3</definedName>
    <definedName name="проектный_менеджер">'Лист согласования'!$I$73</definedName>
    <definedName name="размер_НДС">'Расчёт продажи'!$J$100</definedName>
    <definedName name="расчёт_курса">Служебный!$B$2:$D$4</definedName>
    <definedName name="расчёт_НДС">Служебный!$F$2:$H$4</definedName>
    <definedName name="себестоимость">Расчёт[[#Totals],[11
Сумма Вход]]</definedName>
    <definedName name="служ_колонки">Служебный!$T$2:$T$6</definedName>
    <definedName name="способы_проведения_тендеров">Служебный!$R$2:$R$11</definedName>
    <definedName name="стоимость_доставки">Доставка[[#Totals],[Цена, руб. с НДС]]</definedName>
    <definedName name="тендер">'Лист согласования'!$E$48</definedName>
    <definedName name="тендер_область">'Лист согласования'!$A$47:$N$60</definedName>
    <definedName name="тип_доставки">Служебный!$M$2:$M$5</definedName>
    <definedName name="условия_выполнения">'Лист согласования'!$C$31:$M$33</definedName>
    <definedName name="условия_оплаты">'Лист согласования'!$C$20:$M$22</definedName>
  </definedNames>
  <calcPr calcId="162913" calcMode="manual" refMode="R1C1"/>
  <fileRecoveryPr autoRecover="0"/>
</workbook>
</file>

<file path=xl/calcChain.xml><?xml version="1.0" encoding="utf-8"?>
<calcChain xmlns="http://schemas.openxmlformats.org/spreadsheetml/2006/main">
  <c r="B100" i="3" l="1"/>
  <c r="B99" i="3"/>
  <c r="C85" i="3"/>
  <c r="B84" i="3"/>
  <c r="C76" i="3"/>
  <c r="B75" i="3"/>
  <c r="C65" i="3"/>
  <c r="B64" i="3"/>
  <c r="C48" i="3"/>
  <c r="B47" i="3"/>
  <c r="C30" i="3"/>
  <c r="C22" i="3"/>
  <c r="G22" i="3"/>
  <c r="E27" i="3"/>
  <c r="E23" i="3"/>
  <c r="B29" i="3"/>
  <c r="C21" i="3"/>
  <c r="J20" i="3"/>
  <c r="I20" i="3"/>
  <c r="H20" i="3"/>
  <c r="K22" i="3"/>
  <c r="K23" i="3"/>
  <c r="K24" i="3"/>
  <c r="K25" i="3"/>
  <c r="K26" i="3"/>
  <c r="K27" i="3"/>
  <c r="K28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6" i="3"/>
  <c r="K67" i="3"/>
  <c r="K68" i="3"/>
  <c r="K69" i="3"/>
  <c r="K72" i="3"/>
  <c r="K70" i="3"/>
  <c r="K71" i="3"/>
  <c r="K74" i="3"/>
  <c r="K73" i="3"/>
  <c r="K82" i="3"/>
  <c r="K83" i="3"/>
  <c r="K77" i="3"/>
  <c r="K78" i="3"/>
  <c r="K79" i="3"/>
  <c r="K80" i="3"/>
  <c r="K81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6" i="3"/>
  <c r="G67" i="3"/>
  <c r="G68" i="3"/>
  <c r="G69" i="3"/>
  <c r="G72" i="3"/>
  <c r="G70" i="3"/>
  <c r="G71" i="3"/>
  <c r="G74" i="3"/>
  <c r="G73" i="3"/>
  <c r="G82" i="3"/>
  <c r="G83" i="3"/>
  <c r="G77" i="3"/>
  <c r="G78" i="3"/>
  <c r="G79" i="3"/>
  <c r="G80" i="3"/>
  <c r="G81" i="3"/>
  <c r="F22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6" i="3"/>
  <c r="F67" i="3"/>
  <c r="F68" i="3"/>
  <c r="F69" i="3"/>
  <c r="F72" i="3"/>
  <c r="F70" i="3"/>
  <c r="F71" i="3"/>
  <c r="F74" i="3"/>
  <c r="F73" i="3"/>
  <c r="F82" i="3"/>
  <c r="F83" i="3"/>
  <c r="F77" i="3"/>
  <c r="F78" i="3"/>
  <c r="F79" i="3"/>
  <c r="F80" i="3"/>
  <c r="F81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6" i="3"/>
  <c r="E67" i="3"/>
  <c r="E68" i="3"/>
  <c r="E69" i="3"/>
  <c r="E72" i="3"/>
  <c r="E70" i="3"/>
  <c r="E71" i="3"/>
  <c r="E74" i="3"/>
  <c r="E73" i="3"/>
  <c r="E82" i="3"/>
  <c r="E83" i="3"/>
  <c r="E77" i="3"/>
  <c r="E78" i="3"/>
  <c r="E79" i="3"/>
  <c r="E80" i="3"/>
  <c r="E81" i="3"/>
  <c r="D23" i="3"/>
  <c r="D24" i="3"/>
  <c r="D25" i="3"/>
  <c r="D26" i="3"/>
  <c r="D27" i="3"/>
  <c r="D28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6" i="3"/>
  <c r="D67" i="3"/>
  <c r="D68" i="3"/>
  <c r="D69" i="3"/>
  <c r="D72" i="3"/>
  <c r="D70" i="3"/>
  <c r="D71" i="3"/>
  <c r="D74" i="3"/>
  <c r="D73" i="3"/>
  <c r="D82" i="3"/>
  <c r="D83" i="3"/>
  <c r="D77" i="3"/>
  <c r="D78" i="3"/>
  <c r="D79" i="3"/>
  <c r="D80" i="3"/>
  <c r="D81" i="3"/>
  <c r="C23" i="3"/>
  <c r="C24" i="3"/>
  <c r="C25" i="3"/>
  <c r="C26" i="3"/>
  <c r="C27" i="3"/>
  <c r="C28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6" i="3"/>
  <c r="C67" i="3"/>
  <c r="C68" i="3"/>
  <c r="C69" i="3"/>
  <c r="C72" i="3"/>
  <c r="C70" i="3"/>
  <c r="C71" i="3"/>
  <c r="C74" i="3"/>
  <c r="C73" i="3"/>
  <c r="C82" i="3"/>
  <c r="C83" i="3"/>
  <c r="C77" i="3"/>
  <c r="C78" i="3"/>
  <c r="C79" i="3"/>
  <c r="C80" i="3"/>
  <c r="C81" i="3"/>
  <c r="Z50" i="4"/>
  <c r="J49" i="4"/>
  <c r="Z46" i="4"/>
  <c r="J45" i="4"/>
  <c r="K45" i="4" s="1"/>
  <c r="Z42" i="4"/>
  <c r="J41" i="4"/>
  <c r="K41" i="4" s="1"/>
  <c r="Z38" i="4"/>
  <c r="J37" i="4"/>
  <c r="K37" i="4" s="1"/>
  <c r="Z34" i="4"/>
  <c r="J33" i="4"/>
  <c r="K33" i="4" s="1"/>
  <c r="J29" i="4"/>
  <c r="K29" i="4" s="1"/>
  <c r="J26" i="4"/>
  <c r="K26" i="4" s="1"/>
  <c r="J25" i="4"/>
  <c r="K25" i="4" s="1"/>
  <c r="G94" i="4"/>
  <c r="H94" i="4" s="1"/>
  <c r="G95" i="4"/>
  <c r="H95" i="4" s="1"/>
  <c r="G96" i="4"/>
  <c r="H96" i="4" s="1"/>
  <c r="G97" i="4"/>
  <c r="H97" i="4" s="1"/>
  <c r="G98" i="4"/>
  <c r="H98" i="4" s="1"/>
  <c r="G99" i="4"/>
  <c r="H99" i="4" s="1"/>
  <c r="G100" i="4"/>
  <c r="H100" i="4" s="1"/>
  <c r="G101" i="4"/>
  <c r="H101" i="4" s="1"/>
  <c r="G102" i="4"/>
  <c r="H102" i="4" s="1"/>
  <c r="G103" i="4"/>
  <c r="H103" i="4" s="1"/>
  <c r="G104" i="4"/>
  <c r="H104" i="4" s="1"/>
  <c r="G105" i="4"/>
  <c r="H105" i="4" s="1"/>
  <c r="G106" i="4"/>
  <c r="H106" i="4" s="1"/>
  <c r="G107" i="4"/>
  <c r="H107" i="4" s="1"/>
  <c r="G108" i="4"/>
  <c r="H108" i="4" s="1"/>
  <c r="G109" i="4"/>
  <c r="H109" i="4" s="1"/>
  <c r="G110" i="4"/>
  <c r="H110" i="4" s="1"/>
  <c r="G111" i="4"/>
  <c r="H111" i="4" s="1"/>
  <c r="G112" i="4"/>
  <c r="H112" i="4" s="1"/>
  <c r="J94" i="4"/>
  <c r="J95" i="4"/>
  <c r="K95" i="4" s="1"/>
  <c r="J96" i="4"/>
  <c r="K96" i="4" s="1"/>
  <c r="J97" i="4"/>
  <c r="K97" i="4" s="1"/>
  <c r="J98" i="4"/>
  <c r="J99" i="4"/>
  <c r="K99" i="4" s="1"/>
  <c r="J100" i="4"/>
  <c r="K100" i="4" s="1"/>
  <c r="J101" i="4"/>
  <c r="K101" i="4" s="1"/>
  <c r="J102" i="4"/>
  <c r="I102" i="4" s="1"/>
  <c r="J103" i="4"/>
  <c r="K103" i="4" s="1"/>
  <c r="J104" i="4"/>
  <c r="K104" i="4" s="1"/>
  <c r="J105" i="4"/>
  <c r="K105" i="4" s="1"/>
  <c r="J106" i="4"/>
  <c r="I106" i="4" s="1"/>
  <c r="J107" i="4"/>
  <c r="J108" i="4"/>
  <c r="K108" i="4" s="1"/>
  <c r="J109" i="4"/>
  <c r="K109" i="4" s="1"/>
  <c r="J110" i="4"/>
  <c r="J111" i="4"/>
  <c r="J112" i="4"/>
  <c r="K112" i="4" s="1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G74" i="4"/>
  <c r="G75" i="4"/>
  <c r="G76" i="4"/>
  <c r="H76" i="4" s="1"/>
  <c r="G77" i="4"/>
  <c r="H77" i="4" s="1"/>
  <c r="G78" i="4"/>
  <c r="H78" i="4" s="1"/>
  <c r="G79" i="4"/>
  <c r="H79" i="4" s="1"/>
  <c r="G80" i="4"/>
  <c r="G81" i="4"/>
  <c r="G82" i="4"/>
  <c r="H82" i="4" s="1"/>
  <c r="G83" i="4"/>
  <c r="G84" i="4"/>
  <c r="H84" i="4" s="1"/>
  <c r="G85" i="4"/>
  <c r="H85" i="4" s="1"/>
  <c r="G86" i="4"/>
  <c r="H86" i="4" s="1"/>
  <c r="G87" i="4"/>
  <c r="H87" i="4" s="1"/>
  <c r="G88" i="4"/>
  <c r="H88" i="4" s="1"/>
  <c r="G89" i="4"/>
  <c r="H89" i="4" s="1"/>
  <c r="G90" i="4"/>
  <c r="H90" i="4" s="1"/>
  <c r="G91" i="4"/>
  <c r="H91" i="4" s="1"/>
  <c r="G92" i="4"/>
  <c r="H92" i="4" s="1"/>
  <c r="G93" i="4"/>
  <c r="H93" i="4" s="1"/>
  <c r="H74" i="4"/>
  <c r="H75" i="4"/>
  <c r="H80" i="4"/>
  <c r="H81" i="4"/>
  <c r="H8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K86" i="4" s="1"/>
  <c r="J87" i="4"/>
  <c r="K87" i="4" s="1"/>
  <c r="J88" i="4"/>
  <c r="J89" i="4"/>
  <c r="K89" i="4" s="1"/>
  <c r="J90" i="4"/>
  <c r="J91" i="4"/>
  <c r="J92" i="4"/>
  <c r="J93" i="4"/>
  <c r="K93" i="4" s="1"/>
  <c r="K74" i="4"/>
  <c r="K75" i="4"/>
  <c r="K76" i="4"/>
  <c r="K77" i="4"/>
  <c r="K78" i="4"/>
  <c r="K79" i="4"/>
  <c r="K80" i="4"/>
  <c r="K81" i="4"/>
  <c r="K82" i="4"/>
  <c r="K83" i="4"/>
  <c r="K84" i="4"/>
  <c r="K85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G54" i="4"/>
  <c r="G55" i="4"/>
  <c r="G56" i="4"/>
  <c r="H56" i="4" s="1"/>
  <c r="G57" i="4"/>
  <c r="G58" i="4"/>
  <c r="G59" i="4"/>
  <c r="G60" i="4"/>
  <c r="H60" i="4" s="1"/>
  <c r="G61" i="4"/>
  <c r="H61" i="4" s="1"/>
  <c r="G62" i="4"/>
  <c r="H62" i="4" s="1"/>
  <c r="G63" i="4"/>
  <c r="G64" i="4"/>
  <c r="H64" i="4" s="1"/>
  <c r="G65" i="4"/>
  <c r="H65" i="4" s="1"/>
  <c r="G66" i="4"/>
  <c r="H66" i="4" s="1"/>
  <c r="G67" i="4"/>
  <c r="H67" i="4" s="1"/>
  <c r="G68" i="4"/>
  <c r="H68" i="4" s="1"/>
  <c r="G69" i="4"/>
  <c r="H69" i="4" s="1"/>
  <c r="G70" i="4"/>
  <c r="H70" i="4" s="1"/>
  <c r="G71" i="4"/>
  <c r="H71" i="4" s="1"/>
  <c r="G72" i="4"/>
  <c r="H72" i="4" s="1"/>
  <c r="G73" i="4"/>
  <c r="H73" i="4" s="1"/>
  <c r="H54" i="4"/>
  <c r="H55" i="4"/>
  <c r="H57" i="4"/>
  <c r="H58" i="4"/>
  <c r="H59" i="4"/>
  <c r="H63" i="4"/>
  <c r="J54" i="4"/>
  <c r="J55" i="4"/>
  <c r="J56" i="4"/>
  <c r="J57" i="4"/>
  <c r="J58" i="4"/>
  <c r="J59" i="4"/>
  <c r="K59" i="4" s="1"/>
  <c r="J60" i="4"/>
  <c r="K60" i="4" s="1"/>
  <c r="J61" i="4"/>
  <c r="K61" i="4" s="1"/>
  <c r="J62" i="4"/>
  <c r="K62" i="4" s="1"/>
  <c r="J63" i="4"/>
  <c r="J64" i="4"/>
  <c r="J65" i="4"/>
  <c r="J66" i="4"/>
  <c r="K66" i="4" s="1"/>
  <c r="J67" i="4"/>
  <c r="J68" i="4"/>
  <c r="J69" i="4"/>
  <c r="K69" i="4" s="1"/>
  <c r="J70" i="4"/>
  <c r="J71" i="4"/>
  <c r="J72" i="4"/>
  <c r="J73" i="4"/>
  <c r="K73" i="4" s="1"/>
  <c r="K54" i="4"/>
  <c r="K55" i="4"/>
  <c r="K56" i="4"/>
  <c r="K57" i="4"/>
  <c r="K58" i="4"/>
  <c r="K63" i="4"/>
  <c r="K64" i="4"/>
  <c r="K65" i="4"/>
  <c r="K67" i="4"/>
  <c r="K68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G34" i="4"/>
  <c r="H34" i="4" s="1"/>
  <c r="G35" i="4"/>
  <c r="H35" i="4" s="1"/>
  <c r="G36" i="4"/>
  <c r="G37" i="4"/>
  <c r="G38" i="4"/>
  <c r="H38" i="4" s="1"/>
  <c r="G39" i="4"/>
  <c r="H39" i="4" s="1"/>
  <c r="G40" i="4"/>
  <c r="G41" i="4"/>
  <c r="G42" i="4"/>
  <c r="G43" i="4"/>
  <c r="H43" i="4" s="1"/>
  <c r="G44" i="4"/>
  <c r="H44" i="4" s="1"/>
  <c r="G45" i="4"/>
  <c r="H45" i="4" s="1"/>
  <c r="G46" i="4"/>
  <c r="H46" i="4" s="1"/>
  <c r="G47" i="4"/>
  <c r="H47" i="4" s="1"/>
  <c r="G48" i="4"/>
  <c r="H48" i="4" s="1"/>
  <c r="G49" i="4"/>
  <c r="H49" i="4" s="1"/>
  <c r="G50" i="4"/>
  <c r="H50" i="4" s="1"/>
  <c r="G51" i="4"/>
  <c r="H51" i="4" s="1"/>
  <c r="G52" i="4"/>
  <c r="H52" i="4" s="1"/>
  <c r="G53" i="4"/>
  <c r="H53" i="4" s="1"/>
  <c r="H36" i="4"/>
  <c r="H37" i="4"/>
  <c r="H40" i="4"/>
  <c r="H41" i="4"/>
  <c r="H42" i="4"/>
  <c r="J35" i="4"/>
  <c r="K35" i="4" s="1"/>
  <c r="J36" i="4"/>
  <c r="I36" i="4" s="1"/>
  <c r="J39" i="4"/>
  <c r="K39" i="4" s="1"/>
  <c r="J40" i="4"/>
  <c r="I40" i="4" s="1"/>
  <c r="J43" i="4"/>
  <c r="K43" i="4" s="1"/>
  <c r="J44" i="4"/>
  <c r="K44" i="4" s="1"/>
  <c r="J47" i="4"/>
  <c r="K47" i="4" s="1"/>
  <c r="J48" i="4"/>
  <c r="J51" i="4"/>
  <c r="J52" i="4"/>
  <c r="J53" i="4"/>
  <c r="K40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Z35" i="4"/>
  <c r="Z36" i="4"/>
  <c r="Z37" i="4"/>
  <c r="Z39" i="4"/>
  <c r="Z40" i="4"/>
  <c r="Z41" i="4"/>
  <c r="Z43" i="4"/>
  <c r="Z44" i="4"/>
  <c r="Z45" i="4"/>
  <c r="Z47" i="4"/>
  <c r="Z48" i="4"/>
  <c r="Z49" i="4"/>
  <c r="Z51" i="4"/>
  <c r="Z52" i="4"/>
  <c r="Z53" i="4"/>
  <c r="G29" i="4"/>
  <c r="H29" i="4" s="1"/>
  <c r="G30" i="4"/>
  <c r="H30" i="4" s="1"/>
  <c r="G31" i="4"/>
  <c r="H31" i="4" s="1"/>
  <c r="G32" i="4"/>
  <c r="H32" i="4" s="1"/>
  <c r="G33" i="4"/>
  <c r="H33" i="4" s="1"/>
  <c r="J30" i="4"/>
  <c r="K30" i="4" s="1"/>
  <c r="J31" i="4"/>
  <c r="J32" i="4"/>
  <c r="K32" i="4" s="1"/>
  <c r="Q29" i="4"/>
  <c r="Q30" i="4"/>
  <c r="Q31" i="4"/>
  <c r="Q32" i="4"/>
  <c r="Q33" i="4"/>
  <c r="S29" i="4"/>
  <c r="S30" i="4"/>
  <c r="S31" i="4"/>
  <c r="S32" i="4"/>
  <c r="S33" i="4"/>
  <c r="Y29" i="4"/>
  <c r="Y30" i="4"/>
  <c r="Y31" i="4"/>
  <c r="Y32" i="4"/>
  <c r="Y33" i="4"/>
  <c r="Z30" i="4"/>
  <c r="Z31" i="4"/>
  <c r="Z32" i="4"/>
  <c r="G24" i="4"/>
  <c r="H24" i="4" s="1"/>
  <c r="G25" i="4"/>
  <c r="H25" i="4" s="1"/>
  <c r="G26" i="4"/>
  <c r="G27" i="4"/>
  <c r="H27" i="4" s="1"/>
  <c r="G28" i="4"/>
  <c r="H28" i="4" s="1"/>
  <c r="J24" i="4"/>
  <c r="K24" i="4" s="1"/>
  <c r="J27" i="4"/>
  <c r="K27" i="4" s="1"/>
  <c r="J28" i="4"/>
  <c r="K28" i="4" s="1"/>
  <c r="Q24" i="4"/>
  <c r="Q25" i="4"/>
  <c r="Q26" i="4"/>
  <c r="Q27" i="4"/>
  <c r="Q28" i="4"/>
  <c r="S24" i="4"/>
  <c r="S25" i="4"/>
  <c r="S26" i="4"/>
  <c r="S27" i="4"/>
  <c r="S28" i="4"/>
  <c r="Y24" i="4"/>
  <c r="Y25" i="4"/>
  <c r="Y26" i="4"/>
  <c r="Y27" i="4"/>
  <c r="Y28" i="4"/>
  <c r="Z24" i="4"/>
  <c r="Z27" i="4"/>
  <c r="Z28" i="4"/>
  <c r="E24" i="3" l="1"/>
  <c r="E28" i="3"/>
  <c r="E25" i="3"/>
  <c r="E26" i="3"/>
  <c r="K36" i="4"/>
  <c r="I110" i="4"/>
  <c r="I98" i="4"/>
  <c r="I94" i="4"/>
  <c r="I72" i="4"/>
  <c r="I68" i="4"/>
  <c r="I64" i="4"/>
  <c r="I60" i="4"/>
  <c r="I56" i="4"/>
  <c r="I44" i="4"/>
  <c r="I48" i="4"/>
  <c r="I52" i="4"/>
  <c r="K48" i="4"/>
  <c r="K102" i="4"/>
  <c r="K98" i="4"/>
  <c r="K94" i="4"/>
  <c r="Z26" i="4"/>
  <c r="J46" i="4"/>
  <c r="K46" i="4" s="1"/>
  <c r="J42" i="4"/>
  <c r="K42" i="4" s="1"/>
  <c r="J38" i="4"/>
  <c r="K38" i="4" s="1"/>
  <c r="J34" i="4"/>
  <c r="K34" i="4" s="1"/>
  <c r="Z33" i="4"/>
  <c r="Z29" i="4"/>
  <c r="J50" i="4"/>
  <c r="I50" i="4" s="1"/>
  <c r="Z25" i="4"/>
  <c r="I90" i="4"/>
  <c r="I86" i="4"/>
  <c r="I82" i="4"/>
  <c r="I78" i="4"/>
  <c r="I74" i="4"/>
  <c r="I111" i="4"/>
  <c r="I107" i="4"/>
  <c r="I103" i="4"/>
  <c r="I99" i="4"/>
  <c r="I95" i="4"/>
  <c r="K107" i="4"/>
  <c r="K111" i="4"/>
  <c r="K106" i="4"/>
  <c r="I112" i="4"/>
  <c r="I108" i="4"/>
  <c r="I104" i="4"/>
  <c r="I100" i="4"/>
  <c r="I96" i="4"/>
  <c r="I92" i="4"/>
  <c r="I84" i="4"/>
  <c r="I80" i="4"/>
  <c r="I76" i="4"/>
  <c r="K90" i="4"/>
  <c r="I109" i="4"/>
  <c r="I105" i="4"/>
  <c r="I101" i="4"/>
  <c r="I97" i="4"/>
  <c r="K110" i="4"/>
  <c r="I91" i="4"/>
  <c r="I87" i="4"/>
  <c r="I83" i="4"/>
  <c r="I79" i="4"/>
  <c r="I75" i="4"/>
  <c r="I70" i="4"/>
  <c r="I66" i="4"/>
  <c r="I62" i="4"/>
  <c r="I88" i="4"/>
  <c r="I71" i="4"/>
  <c r="I67" i="4"/>
  <c r="I63" i="4"/>
  <c r="I59" i="4"/>
  <c r="I55" i="4"/>
  <c r="K88" i="4"/>
  <c r="I58" i="4"/>
  <c r="I54" i="4"/>
  <c r="K91" i="4"/>
  <c r="I31" i="4"/>
  <c r="I85" i="4"/>
  <c r="I81" i="4"/>
  <c r="I77" i="4"/>
  <c r="K92" i="4"/>
  <c r="I93" i="4"/>
  <c r="I89" i="4"/>
  <c r="I51" i="4"/>
  <c r="I47" i="4"/>
  <c r="I43" i="4"/>
  <c r="I39" i="4"/>
  <c r="I35" i="4"/>
  <c r="K72" i="4"/>
  <c r="K71" i="4"/>
  <c r="I65" i="4"/>
  <c r="I61" i="4"/>
  <c r="I57" i="4"/>
  <c r="K52" i="4"/>
  <c r="K70" i="4"/>
  <c r="K51" i="4"/>
  <c r="I53" i="4"/>
  <c r="I49" i="4"/>
  <c r="I45" i="4"/>
  <c r="I41" i="4"/>
  <c r="I37" i="4"/>
  <c r="I73" i="4"/>
  <c r="I69" i="4"/>
  <c r="K53" i="4"/>
  <c r="K49" i="4"/>
  <c r="I30" i="4"/>
  <c r="K31" i="4"/>
  <c r="I26" i="4"/>
  <c r="I33" i="4"/>
  <c r="I29" i="4"/>
  <c r="H26" i="4"/>
  <c r="I32" i="4"/>
  <c r="I25" i="4"/>
  <c r="I28" i="4"/>
  <c r="I24" i="4"/>
  <c r="I27" i="4"/>
  <c r="I46" i="4" l="1"/>
  <c r="I42" i="4"/>
  <c r="I34" i="4"/>
  <c r="I38" i="4"/>
  <c r="K50" i="4"/>
  <c r="Z16" i="4" l="1"/>
  <c r="Z17" i="4"/>
  <c r="Z18" i="4"/>
  <c r="Z19" i="4"/>
  <c r="Z20" i="4"/>
  <c r="Z21" i="4"/>
  <c r="Z22" i="4"/>
  <c r="Z23" i="4"/>
  <c r="Y16" i="4"/>
  <c r="Y17" i="4"/>
  <c r="Y18" i="4"/>
  <c r="Y19" i="4"/>
  <c r="Y20" i="4"/>
  <c r="Y21" i="4"/>
  <c r="Y22" i="4"/>
  <c r="Y23" i="4"/>
  <c r="S16" i="4"/>
  <c r="S17" i="4"/>
  <c r="S18" i="4"/>
  <c r="S19" i="4"/>
  <c r="S20" i="4"/>
  <c r="S21" i="4"/>
  <c r="S22" i="4"/>
  <c r="S23" i="4"/>
  <c r="Q16" i="4"/>
  <c r="Q17" i="4"/>
  <c r="Q18" i="4"/>
  <c r="Q19" i="4"/>
  <c r="Q20" i="4"/>
  <c r="Q21" i="4"/>
  <c r="Q22" i="4"/>
  <c r="Q23" i="4"/>
  <c r="J16" i="4"/>
  <c r="K16" i="4" s="1"/>
  <c r="J17" i="4"/>
  <c r="K17" i="4" s="1"/>
  <c r="J18" i="4"/>
  <c r="K18" i="4" s="1"/>
  <c r="J20" i="4"/>
  <c r="K20" i="4" s="1"/>
  <c r="J21" i="4"/>
  <c r="K21" i="4" s="1"/>
  <c r="J22" i="4"/>
  <c r="J23" i="4"/>
  <c r="K23" i="4" s="1"/>
  <c r="G17" i="4"/>
  <c r="G18" i="4"/>
  <c r="H18" i="4" s="1"/>
  <c r="G19" i="4"/>
  <c r="G20" i="4"/>
  <c r="G21" i="4"/>
  <c r="G22" i="4"/>
  <c r="H22" i="4" s="1"/>
  <c r="G23" i="4"/>
  <c r="G12" i="4"/>
  <c r="I17" i="4" l="1"/>
  <c r="I21" i="4"/>
  <c r="I23" i="4"/>
  <c r="I20" i="4"/>
  <c r="H17" i="4"/>
  <c r="H20" i="4"/>
  <c r="I22" i="4"/>
  <c r="I18" i="4"/>
  <c r="H23" i="4"/>
  <c r="H19" i="4"/>
  <c r="H21" i="4"/>
  <c r="K22" i="4"/>
  <c r="D6" i="10"/>
  <c r="J12" i="4" l="1"/>
  <c r="F12" i="10" l="1"/>
  <c r="Q113" i="4" l="1"/>
  <c r="S113" i="4"/>
  <c r="D3" i="5" l="1"/>
  <c r="C4" i="5"/>
  <c r="B3" i="5"/>
  <c r="C2" i="5"/>
  <c r="F3" i="5"/>
  <c r="D2" i="5"/>
  <c r="B4" i="5"/>
  <c r="G16" i="4" s="1"/>
  <c r="D1" i="5"/>
  <c r="C1" i="5"/>
  <c r="H1" i="5"/>
  <c r="G1" i="5"/>
  <c r="F1" i="5"/>
  <c r="B1" i="5"/>
  <c r="I16" i="4" l="1"/>
  <c r="H16" i="4"/>
  <c r="J19" i="4"/>
  <c r="N2" i="5" a="1"/>
  <c r="N2" i="5" s="1"/>
  <c r="K19" i="4" l="1"/>
  <c r="I19" i="4"/>
  <c r="N5" i="5"/>
  <c r="N4" i="5"/>
  <c r="N11" i="5"/>
  <c r="N7" i="5"/>
  <c r="N3" i="5"/>
  <c r="N9" i="5"/>
  <c r="N8" i="5"/>
  <c r="N10" i="5"/>
  <c r="N6" i="5"/>
  <c r="K113" i="4" l="1"/>
  <c r="H113" i="4"/>
  <c r="H31" i="3" l="1"/>
  <c r="I31" i="3" s="1"/>
  <c r="H35" i="3"/>
  <c r="I35" i="3" s="1"/>
  <c r="J35" i="3" s="1"/>
  <c r="H39" i="3"/>
  <c r="I39" i="3" s="1"/>
  <c r="J39" i="3" s="1"/>
  <c r="H43" i="3"/>
  <c r="I43" i="3" s="1"/>
  <c r="J43" i="3" s="1"/>
  <c r="H86" i="3"/>
  <c r="I86" i="3" s="1"/>
  <c r="H90" i="3"/>
  <c r="I90" i="3" s="1"/>
  <c r="J90" i="3" s="1"/>
  <c r="H94" i="3"/>
  <c r="I94" i="3" s="1"/>
  <c r="J94" i="3" s="1"/>
  <c r="H98" i="3"/>
  <c r="I98" i="3" s="1"/>
  <c r="J98" i="3" s="1"/>
  <c r="H52" i="3"/>
  <c r="I52" i="3" s="1"/>
  <c r="J52" i="3" s="1"/>
  <c r="H56" i="3"/>
  <c r="I56" i="3" s="1"/>
  <c r="J56" i="3" s="1"/>
  <c r="H60" i="3"/>
  <c r="I60" i="3" s="1"/>
  <c r="J60" i="3" s="1"/>
  <c r="H66" i="3"/>
  <c r="I66" i="3" s="1"/>
  <c r="H72" i="3"/>
  <c r="I72" i="3" s="1"/>
  <c r="J72" i="3" s="1"/>
  <c r="H73" i="3"/>
  <c r="I73" i="3" s="1"/>
  <c r="J73" i="3" s="1"/>
  <c r="H78" i="3"/>
  <c r="I78" i="3" s="1"/>
  <c r="J78" i="3" s="1"/>
  <c r="H38" i="3"/>
  <c r="I38" i="3" s="1"/>
  <c r="J38" i="3" s="1"/>
  <c r="H46" i="3"/>
  <c r="I46" i="3" s="1"/>
  <c r="J46" i="3" s="1"/>
  <c r="H93" i="3"/>
  <c r="I93" i="3" s="1"/>
  <c r="J93" i="3" s="1"/>
  <c r="H51" i="3"/>
  <c r="I51" i="3" s="1"/>
  <c r="J51" i="3" s="1"/>
  <c r="H59" i="3"/>
  <c r="I59" i="3" s="1"/>
  <c r="J59" i="3" s="1"/>
  <c r="H69" i="3"/>
  <c r="I69" i="3" s="1"/>
  <c r="J69" i="3" s="1"/>
  <c r="H77" i="3"/>
  <c r="I77" i="3" s="1"/>
  <c r="H32" i="3"/>
  <c r="I32" i="3" s="1"/>
  <c r="J32" i="3" s="1"/>
  <c r="H36" i="3"/>
  <c r="I36" i="3" s="1"/>
  <c r="J36" i="3" s="1"/>
  <c r="H40" i="3"/>
  <c r="I40" i="3" s="1"/>
  <c r="J40" i="3" s="1"/>
  <c r="H44" i="3"/>
  <c r="I44" i="3" s="1"/>
  <c r="J44" i="3" s="1"/>
  <c r="H87" i="3"/>
  <c r="I87" i="3" s="1"/>
  <c r="J87" i="3" s="1"/>
  <c r="H91" i="3"/>
  <c r="I91" i="3" s="1"/>
  <c r="J91" i="3" s="1"/>
  <c r="H95" i="3"/>
  <c r="I95" i="3" s="1"/>
  <c r="J95" i="3" s="1"/>
  <c r="H49" i="3"/>
  <c r="I49" i="3" s="1"/>
  <c r="H53" i="3"/>
  <c r="I53" i="3" s="1"/>
  <c r="J53" i="3" s="1"/>
  <c r="H57" i="3"/>
  <c r="I57" i="3" s="1"/>
  <c r="J57" i="3" s="1"/>
  <c r="H61" i="3"/>
  <c r="I61" i="3" s="1"/>
  <c r="J61" i="3" s="1"/>
  <c r="H67" i="3"/>
  <c r="I67" i="3" s="1"/>
  <c r="J67" i="3" s="1"/>
  <c r="H70" i="3"/>
  <c r="I70" i="3" s="1"/>
  <c r="J70" i="3" s="1"/>
  <c r="H82" i="3"/>
  <c r="I82" i="3" s="1"/>
  <c r="J82" i="3" s="1"/>
  <c r="H79" i="3"/>
  <c r="I79" i="3" s="1"/>
  <c r="J79" i="3" s="1"/>
  <c r="H33" i="3"/>
  <c r="I33" i="3" s="1"/>
  <c r="J33" i="3" s="1"/>
  <c r="H37" i="3"/>
  <c r="I37" i="3" s="1"/>
  <c r="J37" i="3" s="1"/>
  <c r="H41" i="3"/>
  <c r="I41" i="3" s="1"/>
  <c r="J41" i="3" s="1"/>
  <c r="H45" i="3"/>
  <c r="I45" i="3" s="1"/>
  <c r="J45" i="3" s="1"/>
  <c r="H88" i="3"/>
  <c r="I88" i="3" s="1"/>
  <c r="J88" i="3" s="1"/>
  <c r="H92" i="3"/>
  <c r="I92" i="3" s="1"/>
  <c r="J92" i="3" s="1"/>
  <c r="H96" i="3"/>
  <c r="I96" i="3" s="1"/>
  <c r="J96" i="3" s="1"/>
  <c r="H50" i="3"/>
  <c r="I50" i="3" s="1"/>
  <c r="J50" i="3" s="1"/>
  <c r="H54" i="3"/>
  <c r="I54" i="3" s="1"/>
  <c r="J54" i="3" s="1"/>
  <c r="H58" i="3"/>
  <c r="I58" i="3" s="1"/>
  <c r="J58" i="3" s="1"/>
  <c r="H62" i="3"/>
  <c r="I62" i="3" s="1"/>
  <c r="J62" i="3" s="1"/>
  <c r="H68" i="3"/>
  <c r="I68" i="3" s="1"/>
  <c r="J68" i="3" s="1"/>
  <c r="H71" i="3"/>
  <c r="I71" i="3" s="1"/>
  <c r="J71" i="3" s="1"/>
  <c r="H83" i="3"/>
  <c r="I83" i="3" s="1"/>
  <c r="J83" i="3" s="1"/>
  <c r="H80" i="3"/>
  <c r="I80" i="3" s="1"/>
  <c r="J80" i="3" s="1"/>
  <c r="H34" i="3"/>
  <c r="I34" i="3" s="1"/>
  <c r="J34" i="3" s="1"/>
  <c r="H42" i="3"/>
  <c r="I42" i="3" s="1"/>
  <c r="J42" i="3" s="1"/>
  <c r="H89" i="3"/>
  <c r="I89" i="3" s="1"/>
  <c r="J89" i="3" s="1"/>
  <c r="H97" i="3"/>
  <c r="I97" i="3" s="1"/>
  <c r="J97" i="3" s="1"/>
  <c r="H55" i="3"/>
  <c r="I55" i="3" s="1"/>
  <c r="J55" i="3" s="1"/>
  <c r="H63" i="3"/>
  <c r="I63" i="3" s="1"/>
  <c r="J63" i="3" s="1"/>
  <c r="H74" i="3"/>
  <c r="I74" i="3" s="1"/>
  <c r="J74" i="3" s="1"/>
  <c r="H81" i="3"/>
  <c r="I81" i="3" s="1"/>
  <c r="J81" i="3" s="1"/>
  <c r="H22" i="3"/>
  <c r="I22" i="3" s="1"/>
  <c r="O2" i="5" a="1"/>
  <c r="O2" i="5" s="1"/>
  <c r="J66" i="3" l="1"/>
  <c r="J75" i="3" s="1"/>
  <c r="I75" i="3"/>
  <c r="I64" i="3"/>
  <c r="J49" i="3"/>
  <c r="J64" i="3" s="1"/>
  <c r="J77" i="3"/>
  <c r="J84" i="3" s="1"/>
  <c r="I84" i="3"/>
  <c r="J22" i="3"/>
  <c r="J29" i="3" s="1"/>
  <c r="I29" i="3"/>
  <c r="I99" i="3"/>
  <c r="J86" i="3"/>
  <c r="J99" i="3" s="1"/>
  <c r="J31" i="3"/>
  <c r="J47" i="3" s="1"/>
  <c r="I47" i="3"/>
  <c r="I100" i="3" s="1"/>
  <c r="O8" i="5"/>
  <c r="O4" i="5"/>
  <c r="O5" i="5"/>
  <c r="O11" i="5"/>
  <c r="O7" i="5"/>
  <c r="O3" i="5"/>
  <c r="O9" i="5"/>
  <c r="O10" i="5"/>
  <c r="O6" i="5"/>
  <c r="J100" i="3" l="1"/>
  <c r="G120" i="4"/>
  <c r="F118" i="4" l="1"/>
  <c r="F119" i="4"/>
  <c r="E118" i="4"/>
  <c r="E119" i="4"/>
  <c r="E117" i="4"/>
  <c r="F117" i="4"/>
  <c r="F120" i="4" l="1"/>
  <c r="E120" i="4"/>
  <c r="I113" i="4"/>
  <c r="F14" i="10" l="1"/>
  <c r="C14" i="10" l="1"/>
  <c r="C12" i="10"/>
</calcChain>
</file>

<file path=xl/comments1.xml><?xml version="1.0" encoding="utf-8"?>
<comments xmlns="http://schemas.openxmlformats.org/spreadsheetml/2006/main">
  <authors>
    <author>Василий Ковальчук</author>
  </authors>
  <commentList>
    <comment ref="L4" authorId="0" shapeId="0">
      <text>
        <r>
          <rPr>
            <sz val="9"/>
            <color indexed="81"/>
            <rFont val="Tahoma"/>
            <family val="2"/>
            <charset val="204"/>
          </rPr>
          <t>Номер заказа в 1С</t>
        </r>
      </text>
    </comment>
    <comment ref="D6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закупки"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Счёт, рамочный договор, договор подряда, договор услуг, NDA и т.д.)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листа "Расчёт продажи"</t>
        </r>
      </text>
    </comment>
    <comment ref="C14" authorId="0" shapeId="0">
      <text>
        <r>
          <rPr>
            <sz val="9"/>
            <color indexed="81"/>
            <rFont val="Tahoma"/>
            <family val="2"/>
            <charset val="204"/>
          </rPr>
          <t>Заполняется автоматически на основании листов "Расчёт продажи" и "Расчёт закупки"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в месяцах</t>
        </r>
      </text>
    </comment>
    <comment ref="K41" authorId="0" shapeId="0">
      <text>
        <r>
          <rPr>
            <sz val="9"/>
            <color indexed="81"/>
            <rFont val="Tahoma"/>
            <family val="2"/>
            <charset val="204"/>
          </rPr>
          <t>в днях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для раскрытия области выберете "да"</t>
        </r>
      </text>
    </comment>
  </commentList>
</comments>
</file>

<file path=xl/comments2.xml><?xml version="1.0" encoding="utf-8"?>
<comments xmlns="http://schemas.openxmlformats.org/spreadsheetml/2006/main">
  <authors>
    <author>Василий Ковальчук</author>
  </authors>
  <commentList>
    <comment ref="D4" authorId="0" shapeId="0">
      <text>
        <r>
          <rPr>
            <sz val="9"/>
            <color indexed="81"/>
            <rFont val="Tahoma"/>
            <family val="2"/>
            <charset val="204"/>
          </rPr>
          <t>Валюта расчёта влияет как на расчёт закупки (столбцы 7-8 и 10-11 на этом листе), так и на расчёт продажи.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- красная стрелка вниз - занижен по сравнению с текущим курсом ЦБ более чем на 5%
- зелёная стрелка вверх - завышен по сравнению с текущим курсом ЦБ более чем на 5%</t>
        </r>
      </text>
    </comment>
    <comment ref="D5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Валюта расчёта влияет как на расчёт закупки (столбцы 7-8 и 10-11 на этом листе), так и на расчёт продажи. Изменение этого значение изменяет все ячейки столбца "НДС входа" (12).
Если выбрано "н/о НДС", то цены на все товары облагаемые НДС будут содержать значение ошибки "#ЗНАЧ!"
Если выбрано "с НДС", то к ценам на все товары с </t>
        </r>
        <r>
          <rPr>
            <i/>
            <u/>
            <sz val="9"/>
            <color indexed="81"/>
            <rFont val="Tahoma"/>
            <family val="2"/>
            <charset val="204"/>
          </rPr>
          <t>НДС закупки</t>
        </r>
        <r>
          <rPr>
            <sz val="9"/>
            <color indexed="81"/>
            <rFont val="Tahoma"/>
            <family val="2"/>
            <charset val="204"/>
          </rPr>
          <t xml:space="preserve"> "без НДС" и "н/о НДС" будет прибавлено 18%. Таким образом мы можем оформить сделку на реализацию прав на передачу ПО без сублицензионного договора, но заплатив НДС.
Если выбрано "без НДС", то из цен на товары с </t>
        </r>
        <r>
          <rPr>
            <i/>
            <u/>
            <sz val="9"/>
            <color indexed="81"/>
            <rFont val="Tahoma"/>
            <family val="2"/>
            <charset val="204"/>
          </rPr>
          <t xml:space="preserve">НДС закупки </t>
        </r>
        <r>
          <rPr>
            <sz val="9"/>
            <color indexed="81"/>
            <rFont val="Tahoma"/>
            <family val="2"/>
            <charset val="204"/>
          </rPr>
          <t>"с НДС" будет вычтен НДС (цена*0,18/1,18)</t>
        </r>
      </text>
    </comment>
    <comment ref="D6" authorId="0" shapeId="0">
      <text>
        <r>
          <rPr>
            <sz val="9"/>
            <color indexed="81"/>
            <rFont val="Tahoma"/>
            <family val="2"/>
            <charset val="204"/>
          </rPr>
          <t>Включать ли транспортные расходы в состав расчёта продажи (КП)? Величина расходов считается равной сумме доставки из таблицы доставки (см. ниже).
Эта сумма равномерно распределяется между позициями, включаемыми в расчёт продажи, пропорционально доли цены одной позиции в себестоимости, и на к ней добавляется указанная к товару маржа/наценка</t>
        </r>
      </text>
    </comment>
    <comment ref="G8" authorId="0" shapeId="0">
      <text>
        <r>
          <rPr>
            <sz val="9"/>
            <color indexed="81"/>
            <rFont val="Tahoma"/>
            <family val="2"/>
            <charset val="204"/>
          </rPr>
          <t>Курс автоматически обновляется при открытии книги</t>
        </r>
      </text>
    </comment>
    <comment ref="A12" authorId="0" shapeId="0">
      <text>
        <r>
          <rPr>
            <sz val="9"/>
            <color theme="1"/>
            <rFont val="Tahoma"/>
            <family val="2"/>
            <charset val="204"/>
          </rPr>
          <t xml:space="preserve">Номер индекса - основной инструмент в подготовке КП на листе "Расчёт продажи". Все строки с товарами без этого индекса игнорируются. Присваивать индексы следует руководствуюясь следующими правилами:
1. Товар без индекса не только не попадает в расчёт продажи, но также не учитывается в сумме входа (ячейка </t>
        </r>
        <r>
          <rPr>
            <i/>
            <u/>
            <sz val="9"/>
            <color theme="1"/>
            <rFont val="Tahoma"/>
            <family val="2"/>
            <charset val="204"/>
          </rPr>
          <t>себестоимость</t>
        </r>
        <r>
          <rPr>
            <sz val="9"/>
            <color theme="1"/>
            <rFont val="Tahoma"/>
            <family val="2"/>
            <charset val="204"/>
          </rPr>
          <t>, колонка 11) и сумма GPL (колонка 8).
2. Индексы корректируются - любая последовательность нецифровых символов между числами заменяется на точку, все нецифровые символы в начале и конце удаляются (например, "</t>
        </r>
        <r>
          <rPr>
            <b/>
            <sz val="9"/>
            <color theme="1"/>
            <rFont val="Tahoma"/>
            <family val="2"/>
            <charset val="204"/>
          </rPr>
          <t>xx10xx3x5"</t>
        </r>
        <r>
          <rPr>
            <sz val="9"/>
            <color theme="1"/>
            <rFont val="Tahoma"/>
            <family val="2"/>
            <charset val="204"/>
          </rPr>
          <t xml:space="preserve"> -&gt; "</t>
        </r>
        <r>
          <rPr>
            <b/>
            <sz val="9"/>
            <color theme="1"/>
            <rFont val="Tahoma"/>
            <family val="2"/>
            <charset val="204"/>
          </rPr>
          <t>10.3.5"</t>
        </r>
        <r>
          <rPr>
            <sz val="9"/>
            <color theme="1"/>
            <rFont val="Tahoma"/>
            <family val="2"/>
            <charset val="204"/>
          </rPr>
          <t>). Таким образом индекс разделяется на</t>
        </r>
        <r>
          <rPr>
            <b/>
            <sz val="9"/>
            <color theme="1"/>
            <rFont val="Tahoma"/>
            <family val="2"/>
            <charset val="204"/>
          </rPr>
          <t xml:space="preserve"> группы чисел</t>
        </r>
        <r>
          <rPr>
            <sz val="9"/>
            <color theme="1"/>
            <rFont val="Tahoma"/>
            <family val="2"/>
            <charset val="204"/>
          </rPr>
          <t xml:space="preserve">; максимальное число таких групп в данной версии файла не может превышать трёх.
3. В расчёте продажи исправляется последовательность индексов. Например,
</t>
        </r>
        <r>
          <rPr>
            <b/>
            <sz val="9"/>
            <color theme="1"/>
            <rFont val="Tahoma"/>
            <family val="2"/>
            <charset val="204"/>
          </rPr>
          <t xml:space="preserve">10.3.5            3.1.1
8.1                  1.1
8.0                  1.0
9                </t>
        </r>
        <r>
          <rPr>
            <sz val="9"/>
            <color theme="1"/>
            <rFont val="Tahoma"/>
            <family val="2"/>
            <charset val="204"/>
          </rPr>
          <t>-&gt;</t>
        </r>
        <r>
          <rPr>
            <b/>
            <sz val="9"/>
            <color theme="1"/>
            <rFont val="Tahoma"/>
            <family val="2"/>
            <charset val="204"/>
          </rPr>
          <t xml:space="preserve">  2
10.10.10       3.2.2
10.10.8         3.2.1
9.101             2.1
</t>
        </r>
        <r>
          <rPr>
            <sz val="9"/>
            <color theme="1"/>
            <rFont val="Tahoma"/>
            <family val="2"/>
            <charset val="204"/>
          </rPr>
          <t>4. Одинаковые индексы у товаров не исправляются и не обрабатываются никаким особым образом
5. Товары в расчёте продажи сортируются в соответствии с полученными в п.3 индексами. Отсюда следует, что порядок строк в расчёте закупки не важен - имеют значение только индексы.
6. Если после исправлений, перечисленных в п.2 и 3, найден индекс, состоящий из одной группы чесел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 из примера в п.3), </t>
        </r>
        <r>
          <rPr>
            <b/>
            <sz val="9"/>
            <color theme="1"/>
            <rFont val="Tahoma"/>
            <family val="2"/>
            <charset val="204"/>
          </rPr>
          <t xml:space="preserve">а также </t>
        </r>
        <r>
          <rPr>
            <sz val="9"/>
            <color theme="1"/>
            <rFont val="Tahoma"/>
            <family val="2"/>
            <charset val="204"/>
          </rPr>
          <t>в этой таблице присутствуют другие индексы, состоящие из нескольких групп чесел, но с тем же числом в первой группе ("</t>
        </r>
        <r>
          <rPr>
            <b/>
            <sz val="9"/>
            <color theme="1"/>
            <rFont val="Tahoma"/>
            <family val="2"/>
            <charset val="204"/>
          </rPr>
          <t>2.1</t>
        </r>
        <r>
          <rPr>
            <sz val="9"/>
            <color theme="1"/>
            <rFont val="Tahoma"/>
            <family val="2"/>
            <charset val="204"/>
          </rPr>
          <t>" из примера в п.3), то в расчёте продажи все товары с этими индексами объединяются в подгруппу товаров со своей строкой подытогов. Заголовком такой подгруппы будет выступать наименование товара с индексом, состоящим из одной группы чисел ("</t>
        </r>
        <r>
          <rPr>
            <b/>
            <sz val="9"/>
            <color theme="1"/>
            <rFont val="Tahoma"/>
            <family val="2"/>
            <charset val="204"/>
          </rPr>
          <t>2</t>
        </r>
        <r>
          <rPr>
            <sz val="9"/>
            <color theme="1"/>
            <rFont val="Tahoma"/>
            <family val="2"/>
            <charset val="204"/>
          </rPr>
          <t xml:space="preserve">"). Если у нескольких товаров одинаковый индекс заголовка, то заголовком подгруппы будет считать только товар с одним из них, а другой будет входить эту подгруппу.
6.1. </t>
        </r>
        <r>
          <rPr>
            <b/>
            <sz val="9"/>
            <color theme="1"/>
            <rFont val="Tahoma"/>
            <family val="2"/>
            <charset val="204"/>
          </rPr>
          <t>Если у товара с индексом заголовка введена стоимость, то в расчёте КП она будет игнорироваться, но по-прежнему влиять на себестоимость!</t>
        </r>
        <r>
          <rPr>
            <sz val="9"/>
            <color theme="1"/>
            <rFont val="Tahoma"/>
            <family val="2"/>
            <charset val="204"/>
          </rPr>
          <t xml:space="preserve"> Удаляйте стоимость у заголовков перед формированием расчёта.
7. Если найдено два и более индекса товаров, одна или две из числовых групп которых равны, и последняя числовая группа одного из этих индексов состоит из нулей, то товары с такими индексами объединяются в комплект, а наименование товара с индексом с нулём в последней группе служит для наименования всего комплекта. Например, индексы "</t>
        </r>
        <r>
          <rPr>
            <b/>
            <sz val="9"/>
            <color theme="1"/>
            <rFont val="Tahoma"/>
            <family val="2"/>
            <charset val="204"/>
          </rPr>
          <t>1.0</t>
        </r>
        <r>
          <rPr>
            <sz val="9"/>
            <color theme="1"/>
            <rFont val="Tahoma"/>
            <family val="2"/>
            <charset val="204"/>
          </rPr>
          <t>" и "</t>
        </r>
        <r>
          <rPr>
            <b/>
            <sz val="9"/>
            <color theme="1"/>
            <rFont val="Tahoma"/>
            <family val="2"/>
            <charset val="204"/>
          </rPr>
          <t>1.1</t>
        </r>
        <r>
          <rPr>
            <sz val="9"/>
            <color theme="1"/>
            <rFont val="Tahoma"/>
            <family val="2"/>
            <charset val="204"/>
          </rPr>
          <t xml:space="preserve">" из п.3
7.1. Количество комплектов вычисляется двумя способами:
      - если у товара с индексом наименования комплекта не указано кол-во, то оно вычисляется как Наибольший Общий Делитель от кол-ва всех составных товаров комплекта. Например, если мы делаем комплект из товаров с количествами 6, 9 и 15, то количество комплектов будет равно 3.
      - если у товара с индексом наименования комплекта указано кол-во, то количество комплектов принудительно принимается равным ему.
7.2. </t>
        </r>
        <r>
          <rPr>
            <b/>
            <sz val="9"/>
            <color theme="1"/>
            <rFont val="Tahoma"/>
            <family val="2"/>
            <charset val="204"/>
          </rPr>
          <t>Цена товара с индексом наименования комплекта учитывается в расчёте продажи и расчёте закупки только в в случае принудительного указания количества комплектов, будьте внимательны!</t>
        </r>
        <r>
          <rPr>
            <sz val="9"/>
            <color theme="1"/>
            <rFont val="Tahoma"/>
            <family val="2"/>
            <charset val="204"/>
          </rPr>
          <t xml:space="preserve">
7.3. Наименования товаров в составе комплектов дополняются их количеством в комплекте, которое вычисляется делением соответствующего товара на кол-во комплектов. Если количество комплектов выбрано принудительно, то могут возникнуть нежелательные дроби.
8. Подгруппы товаров и комплекты автоматически объединяются в группы строк Excel, сворачивать и разворачивать которые можно в левой части окна приложения.</t>
        </r>
      </text>
    </comment>
    <comment ref="B12" authorId="0" shapeId="0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</t>
        </r>
      </text>
    </comment>
    <comment ref="C12" authorId="0" shapeId="0">
      <text>
        <r>
          <rPr>
            <sz val="9"/>
            <color indexed="81"/>
            <rFont val="Tahoma"/>
            <family val="2"/>
            <charset val="204"/>
          </rPr>
          <t>Переносится в расчёт продажи без изменений.
Кнопка заменяет кириллические символы на схожие по написанию латинские</t>
        </r>
      </text>
    </comment>
    <comment ref="D12" authorId="0" shapeId="0">
      <text>
        <r>
          <rPr>
            <sz val="9"/>
            <color indexed="81"/>
            <rFont val="Tahoma"/>
            <family val="2"/>
            <charset val="204"/>
          </rPr>
          <t>Наименования товаров, которые должны будут составлять комплект, дополняются их количеством в комплекте. Во всех остальных случаях наименования переносятся в расчёт продажи без изменений.
Подробнее см. в примечании к колонке "№"
Кнопка удалет различные непечатные символы из строки, включая символы новой строки, а также сокращает любую последовательность пробелов до одного.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Если указано количество товара с индексом заголовка подгруппы, то оно удаляется из расчёта продажи. 
Подробнее см. в примечании к колонке "№"</t>
        </r>
      </text>
    </comment>
    <comment ref="F12" authorId="0" shapeId="0">
      <text>
        <r>
          <rPr>
            <sz val="9"/>
            <color indexed="81"/>
            <rFont val="Tahoma"/>
            <family val="2"/>
            <charset val="204"/>
          </rPr>
          <t xml:space="preserve">Ед.изм. товаров, которые должны будут составлять комплект, заменяются на единую для всего комплекта единицу - компл. Во всех остальных случаях они переносятся в расчёт продажи без изменений.
Подробнее см. в примечании к колонке "№"
</t>
        </r>
      </text>
    </comment>
    <comment ref="G12" authorId="0" shapeId="0">
      <text>
        <r>
          <rPr>
            <sz val="9"/>
            <color indexed="81"/>
            <rFont val="Tahoma"/>
            <family val="2"/>
            <charset val="204"/>
          </rPr>
          <t xml:space="preserve">Цена пересчитывается в </t>
        </r>
        <r>
          <rPr>
            <i/>
            <u/>
            <sz val="9"/>
            <color indexed="81"/>
            <rFont val="Tahoma"/>
            <family val="2"/>
            <charset val="204"/>
          </rPr>
          <t>валюту расчёта</t>
        </r>
        <r>
          <rPr>
            <sz val="9"/>
            <color indexed="81"/>
            <rFont val="Tahoma"/>
            <family val="2"/>
            <charset val="204"/>
          </rPr>
          <t xml:space="preserve"> по </t>
        </r>
        <r>
          <rPr>
            <i/>
            <u/>
            <sz val="9"/>
            <color indexed="81"/>
            <rFont val="Tahoma"/>
            <family val="2"/>
            <charset val="204"/>
          </rPr>
          <t>расчётному курсу</t>
        </r>
        <r>
          <rPr>
            <sz val="9"/>
            <color indexed="81"/>
            <rFont val="Tahoma"/>
            <family val="2"/>
            <charset val="204"/>
          </rPr>
          <t xml:space="preserve"> и учитывает </t>
        </r>
        <r>
          <rPr>
            <i/>
            <u/>
            <sz val="9"/>
            <color indexed="81"/>
            <rFont val="Tahoma"/>
            <family val="2"/>
            <charset val="204"/>
          </rPr>
          <t>НДС расчёта</t>
        </r>
        <r>
          <rPr>
            <sz val="9"/>
            <color indexed="81"/>
            <rFont val="Tahoma"/>
            <family val="2"/>
            <charset val="204"/>
          </rPr>
          <t xml:space="preserve"> (колонка 12).
При попытке внести изменения в формулу, она будет автоматически восстановлена.</t>
        </r>
      </text>
    </comment>
    <comment ref="I12" authorId="0" shapeId="0">
      <text>
        <r>
          <rPr>
            <sz val="9"/>
            <color indexed="81"/>
            <rFont val="Tahoma"/>
            <family val="2"/>
            <charset val="204"/>
          </rPr>
          <t>Процент скидки от GPL/розницы
При попытке внести изменения в формулу, она будет автоматически восстановлена.</t>
        </r>
      </text>
    </comment>
    <comment ref="J12" authorId="0" shapeId="0">
      <text>
        <r>
          <rPr>
            <sz val="9"/>
            <color indexed="81"/>
            <rFont val="Tahoma"/>
            <family val="2"/>
            <charset val="204"/>
          </rPr>
          <t xml:space="preserve">Цена пересчитывается в </t>
        </r>
        <r>
          <rPr>
            <i/>
            <u/>
            <sz val="9"/>
            <color indexed="81"/>
            <rFont val="Tahoma"/>
            <family val="2"/>
            <charset val="204"/>
          </rPr>
          <t>валюту расчёта</t>
        </r>
        <r>
          <rPr>
            <i/>
            <sz val="9"/>
            <color indexed="81"/>
            <rFont val="Tahoma"/>
            <family val="2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по </t>
        </r>
        <r>
          <rPr>
            <i/>
            <u/>
            <sz val="9"/>
            <color indexed="81"/>
            <rFont val="Tahoma"/>
            <family val="2"/>
            <charset val="204"/>
          </rPr>
          <t>расчётному курсу</t>
        </r>
        <r>
          <rPr>
            <i/>
            <sz val="9"/>
            <color indexed="81"/>
            <rFont val="Tahoma"/>
            <family val="2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и учитывает </t>
        </r>
        <r>
          <rPr>
            <i/>
            <u/>
            <sz val="9"/>
            <color indexed="81"/>
            <rFont val="Tahoma"/>
            <family val="2"/>
            <charset val="204"/>
          </rPr>
          <t>НДС расчёта</t>
        </r>
        <r>
          <rPr>
            <sz val="9"/>
            <color indexed="81"/>
            <rFont val="Tahoma"/>
            <family val="2"/>
            <charset val="204"/>
          </rPr>
          <t xml:space="preserve"> (колонка 12).
При попытке внести изменения в формулу, она будет автоматически восстановлена.</t>
        </r>
      </text>
    </comment>
    <comment ref="T12" authorId="0" shapeId="0">
      <text>
        <r>
          <rPr>
            <sz val="9"/>
            <color indexed="81"/>
            <rFont val="Tahoma"/>
            <family val="2"/>
            <charset val="204"/>
          </rPr>
          <t xml:space="preserve">Отсутствие указания на валюту скрывает значение цен GPL/входа, а также обнуляет расчёт GPL и входа в валюте расчёта (столбцы 8 и 11)
При вставке в колонке GPL/вход цены автоматически исправляются - удаляются нецифровые символы, а последняя точка и запятая в строке принимается как десятичный разделитель. Например, "1,200.45 долларов США" преобразуется в число "1200,45". </t>
        </r>
        <r>
          <rPr>
            <b/>
            <sz val="9"/>
            <color indexed="81"/>
            <rFont val="Tahoma"/>
            <family val="2"/>
            <charset val="204"/>
          </rPr>
          <t>С другой стороны, "1,200.45 руб." преобразуется в "120045", потому что примет за десятичный разделитель точку в сокращении "руб.".</t>
        </r>
        <r>
          <rPr>
            <sz val="9"/>
            <color indexed="81"/>
            <rFont val="Tahoma"/>
            <family val="2"/>
            <charset val="204"/>
          </rPr>
          <t xml:space="preserve"> </t>
        </r>
      </text>
    </comment>
    <comment ref="X13" authorId="0" shapeId="0">
      <text>
        <r>
          <rPr>
            <sz val="9"/>
            <color indexed="81"/>
            <rFont val="Tahoma"/>
            <family val="2"/>
            <charset val="204"/>
          </rPr>
          <t>Отсутствие указания на НДС закупки обнуляет расчёт GPL и входа в валюте расчёта (столбцы 8 и 11)</t>
        </r>
      </text>
    </comment>
    <comment ref="U82" authorId="0" shapeId="0">
      <text>
        <r>
          <rPr>
            <sz val="9"/>
            <color indexed="81"/>
            <rFont val="Tahoma"/>
            <family val="2"/>
            <charset val="204"/>
          </rPr>
          <t>ПО Microsoft</t>
        </r>
      </text>
    </comment>
    <comment ref="W82" authorId="0" shapeId="0">
      <text>
        <r>
          <rPr>
            <sz val="9"/>
            <color indexed="81"/>
            <rFont val="Tahoma"/>
            <family val="2"/>
            <charset val="204"/>
          </rPr>
          <t>ПО Microsoft</t>
        </r>
      </text>
    </comment>
    <comment ref="B113" authorId="0" shapeId="0">
      <text>
        <r>
          <rPr>
            <sz val="9"/>
            <color indexed="81"/>
            <rFont val="Tahoma"/>
            <family val="2"/>
            <charset val="204"/>
          </rPr>
          <t>Добавление строк в таблицу расчёта закупки</t>
        </r>
      </text>
    </comment>
    <comment ref="H11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цены на товары с индексами.
Подробнее см. в примечании к колонке "№"</t>
        </r>
      </text>
    </comment>
    <comment ref="K113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цены на товары с индексами.
Подробнее см. в примечании к колонке "№"</t>
        </r>
      </text>
    </comment>
    <comment ref="A116" authorId="0" shapeId="0">
      <text>
        <r>
          <rPr>
            <sz val="9"/>
            <color indexed="81"/>
            <rFont val="Tahoma"/>
            <family val="2"/>
            <charset val="204"/>
          </rPr>
          <t xml:space="preserve">Индикатор включения соответствующей строки расчёта доставки в расчёт продажи. Если глобальный индикатор </t>
        </r>
        <r>
          <rPr>
            <i/>
            <u/>
            <sz val="9"/>
            <color indexed="81"/>
            <rFont val="Tahoma"/>
            <family val="2"/>
            <charset val="204"/>
          </rPr>
          <t>включить транспортные расходы</t>
        </r>
        <r>
          <rPr>
            <sz val="9"/>
            <color indexed="81"/>
            <rFont val="Tahoma"/>
            <family val="2"/>
            <charset val="204"/>
          </rPr>
          <t xml:space="preserve"> установлен в значении "нет", то стоимость доставки вообще не включается в расчёт продажи.</t>
        </r>
      </text>
    </comment>
    <comment ref="G116" authorId="0" shapeId="0">
      <text>
        <r>
          <rPr>
            <sz val="9"/>
            <color indexed="81"/>
            <rFont val="Tahoma"/>
            <family val="2"/>
            <charset val="204"/>
          </rPr>
          <t>Цена вносится только в рублях с НДС</t>
        </r>
      </text>
    </comment>
    <comment ref="G120" authorId="0" shapeId="0">
      <text>
        <r>
          <rPr>
            <sz val="9"/>
            <color indexed="81"/>
            <rFont val="Tahoma"/>
            <family val="2"/>
            <charset val="204"/>
          </rPr>
          <t>Суммируются только цены за доставку с индикатором "Вкл. в расчёт" в первой колонке таблицы</t>
        </r>
      </text>
    </comment>
  </commentList>
</comments>
</file>

<file path=xl/connections.xml><?xml version="1.0" encoding="utf-8"?>
<connections xmlns="http://schemas.openxmlformats.org/spreadsheetml/2006/main">
  <connection id="1" name="XML_daily_eng" type="4" refreshedVersion="0" background="1">
    <webPr xml="1" sourceData="1" url="http://www.cbr.ru/scripts/XML_daily_eng.asp" htmlTables="1" htmlFormat="all"/>
  </connection>
  <connection id="2" name="XML_daily_eng.asp" type="4" refreshedVersion="0" background="1">
    <webPr xml="1" sourceData="1" url="D:\Downloads\Temp\XML_daily_eng.asp.xml" htmlTables="1" htmlFormat="all"/>
  </connection>
</connections>
</file>

<file path=xl/sharedStrings.xml><?xml version="1.0" encoding="utf-8"?>
<sst xmlns="http://schemas.openxmlformats.org/spreadsheetml/2006/main" count="1337" uniqueCount="575">
  <si>
    <t>Курс $</t>
  </si>
  <si>
    <t>Курс €</t>
  </si>
  <si>
    <t>№</t>
  </si>
  <si>
    <t>Производитель</t>
  </si>
  <si>
    <t>P/N</t>
  </si>
  <si>
    <t>Наименование</t>
  </si>
  <si>
    <t>Кол-во</t>
  </si>
  <si>
    <t>Скидка %</t>
  </si>
  <si>
    <t>Поставщик</t>
  </si>
  <si>
    <t>Примечание</t>
  </si>
  <si>
    <t>Итого:</t>
  </si>
  <si>
    <t>ВНУТРЕННЯЯ СПЕЦИФИКАЦИЯ</t>
  </si>
  <si>
    <t>Адрес доставки</t>
  </si>
  <si>
    <t>Срок доставки</t>
  </si>
  <si>
    <t>Транспортная компания</t>
  </si>
  <si>
    <t>Вес, в кг</t>
  </si>
  <si>
    <t>Единицы</t>
  </si>
  <si>
    <t>Всего</t>
  </si>
  <si>
    <t>EUR</t>
  </si>
  <si>
    <t>Расчетный курс</t>
  </si>
  <si>
    <t>RUR</t>
  </si>
  <si>
    <t>USD</t>
  </si>
  <si>
    <t>Цена за единицу</t>
  </si>
  <si>
    <t>Сумма</t>
  </si>
  <si>
    <t>Валюта GPL</t>
  </si>
  <si>
    <t>GPL в валюте</t>
  </si>
  <si>
    <t>Валюта входа</t>
  </si>
  <si>
    <t>Вход в валюте</t>
  </si>
  <si>
    <t>Цена</t>
  </si>
  <si>
    <t>шт</t>
  </si>
  <si>
    <t>с НДС</t>
  </si>
  <si>
    <t>без НДС</t>
  </si>
  <si>
    <t>н/о НДС</t>
  </si>
  <si>
    <t>валюта</t>
  </si>
  <si>
    <t>НДС</t>
  </si>
  <si>
    <t>ед_изм</t>
  </si>
  <si>
    <t>чел. ч</t>
  </si>
  <si>
    <t>чел. дн</t>
  </si>
  <si>
    <t>чел</t>
  </si>
  <si>
    <t>упак</t>
  </si>
  <si>
    <t>м2</t>
  </si>
  <si>
    <t>м</t>
  </si>
  <si>
    <t>компл</t>
  </si>
  <si>
    <t>3
p/n</t>
  </si>
  <si>
    <t>2
Производитель</t>
  </si>
  <si>
    <t>1
№</t>
  </si>
  <si>
    <t>5
Кол-во</t>
  </si>
  <si>
    <t>6
Ед.изм.</t>
  </si>
  <si>
    <t>7
Цена GPL</t>
  </si>
  <si>
    <t>8
Сумма GPL</t>
  </si>
  <si>
    <t>9
Скидка</t>
  </si>
  <si>
    <t>10
Цена Вход</t>
  </si>
  <si>
    <t>11
Сумма Вход</t>
  </si>
  <si>
    <t>4 
Наименование</t>
  </si>
  <si>
    <t>Дата и время рассмотрения заявок:</t>
  </si>
  <si>
    <t>Дата и время окончания подачи заявок:</t>
  </si>
  <si>
    <t>Дата и время подведения итогов:</t>
  </si>
  <si>
    <t>Общий вес, кг</t>
  </si>
  <si>
    <t>Способ доставки</t>
  </si>
  <si>
    <t>авиа</t>
  </si>
  <si>
    <t>авто</t>
  </si>
  <si>
    <t>ж/д</t>
  </si>
  <si>
    <t>тип_доставки</t>
  </si>
  <si>
    <t>Цена, руб. с НДС</t>
  </si>
  <si>
    <t>Дата и время проведение торгов:</t>
  </si>
  <si>
    <t>динамика_курса_USD</t>
  </si>
  <si>
    <t>динамика_курса_EUR</t>
  </si>
  <si>
    <t>море</t>
  </si>
  <si>
    <t>Валюта расчёта</t>
  </si>
  <si>
    <t>НДС расчёта</t>
  </si>
  <si>
    <t>да</t>
  </si>
  <si>
    <t>нет</t>
  </si>
  <si>
    <t>маржа</t>
  </si>
  <si>
    <t>наценка</t>
  </si>
  <si>
    <t>прибыль</t>
  </si>
  <si>
    <t>-</t>
  </si>
  <si>
    <t>Лист согласования</t>
  </si>
  <si>
    <t>от</t>
  </si>
  <si>
    <t>Заказ клиента №</t>
  </si>
  <si>
    <t>Контрагент</t>
  </si>
  <si>
    <t xml:space="preserve">Проектный менеджер </t>
  </si>
  <si>
    <t>Условия оплаты</t>
  </si>
  <si>
    <t>Арбитражный суд</t>
  </si>
  <si>
    <t>СОГЛАСОВАНО</t>
  </si>
  <si>
    <t>Руководитель департамента закупок</t>
  </si>
  <si>
    <t>Руководитель департамента продаж</t>
  </si>
  <si>
    <t>Руководитель департамента системной интеграции</t>
  </si>
  <si>
    <t>Заместитель генерального директора</t>
  </si>
  <si>
    <t>Главный бухгалтер</t>
  </si>
  <si>
    <t>Вкл. в расчёт</t>
  </si>
  <si>
    <t>подпись</t>
  </si>
  <si>
    <t>менеджеры</t>
  </si>
  <si>
    <t>Ковальчук В.Ю.</t>
  </si>
  <si>
    <t>Левина Л.Б.</t>
  </si>
  <si>
    <t>Дамашов А.С.</t>
  </si>
  <si>
    <t>Канский А.Н.</t>
  </si>
  <si>
    <t>Маржа</t>
  </si>
  <si>
    <t>Обеспечение контракта</t>
  </si>
  <si>
    <t>Вид обеспечения</t>
  </si>
  <si>
    <t>Срок обеспечения</t>
  </si>
  <si>
    <t>Тендер</t>
  </si>
  <si>
    <t>Номер извещения</t>
  </si>
  <si>
    <t>Ссылка</t>
  </si>
  <si>
    <t>Закон</t>
  </si>
  <si>
    <t>способы_проведения_тендеров</t>
  </si>
  <si>
    <t>открытый конкурс</t>
  </si>
  <si>
    <t>конкурс с ограниченным участием</t>
  </si>
  <si>
    <t>двухэтапный конкурс</t>
  </si>
  <si>
    <t>закрытый конкурс</t>
  </si>
  <si>
    <t>закрытый конкурс с ограниченным участием</t>
  </si>
  <si>
    <t>закрытый двухэтапный конкурс</t>
  </si>
  <si>
    <t>открытый аукцион</t>
  </si>
  <si>
    <t>закрытый аукцион</t>
  </si>
  <si>
    <t>запрос предложений</t>
  </si>
  <si>
    <t>Способ проведения</t>
  </si>
  <si>
    <t>44ЦБ-000</t>
  </si>
  <si>
    <t>Пени</t>
  </si>
  <si>
    <t>Этап</t>
  </si>
  <si>
    <t>Тип</t>
  </si>
  <si>
    <t>Тип соглашения и предмет договора:</t>
  </si>
  <si>
    <t>Срок</t>
  </si>
  <si>
    <t>С момента</t>
  </si>
  <si>
    <t>Ограничение пени</t>
  </si>
  <si>
    <t xml:space="preserve">Условия доставки/выполнения работ </t>
  </si>
  <si>
    <t>Город</t>
  </si>
  <si>
    <t>Срок гарантии</t>
  </si>
  <si>
    <t>Гарантия</t>
  </si>
  <si>
    <t>Срок замены</t>
  </si>
  <si>
    <t>Прочее:</t>
  </si>
  <si>
    <t xml:space="preserve">Сумма </t>
  </si>
  <si>
    <t>Муравьев Д.C.</t>
  </si>
  <si>
    <t>подпись, дата</t>
  </si>
  <si>
    <t>валюта_кп</t>
  </si>
  <si>
    <t>рублей</t>
  </si>
  <si>
    <t>долларов США</t>
  </si>
  <si>
    <t>eвро</t>
  </si>
  <si>
    <t>Доля</t>
  </si>
  <si>
    <t>Включить транспортные расходы</t>
  </si>
  <si>
    <t>отдел_закупок</t>
  </si>
  <si>
    <t>Срок доставки на склад 4х4</t>
  </si>
  <si>
    <t>ЛЕГЕНДА</t>
  </si>
  <si>
    <t>заполняется проектным менеджером -&gt;</t>
  </si>
  <si>
    <t>заполняется менеджером департамента закупок - &gt;</t>
  </si>
  <si>
    <t>может заполняться сотрудниками любого отдела - &gt;</t>
  </si>
  <si>
    <t>Желаемый срок расчёта</t>
  </si>
  <si>
    <t>Бюджет заказчика</t>
  </si>
  <si>
    <t>Срок действия цены</t>
  </si>
  <si>
    <t>Рассчитал</t>
  </si>
  <si>
    <t>Дата</t>
  </si>
  <si>
    <t>НДС закупки</t>
  </si>
  <si>
    <t>ГК РФ</t>
  </si>
  <si>
    <t>Васильев С.И.</t>
  </si>
  <si>
    <t>Никонов А.С.</t>
  </si>
  <si>
    <t>Нисенбаум А.А.</t>
  </si>
  <si>
    <t>Спивак С.А.</t>
  </si>
  <si>
    <t>v0.98</t>
  </si>
  <si>
    <t>Исправлена ошибка адресации в формулах столбцов таблице расчёта продажи</t>
  </si>
  <si>
    <t>Исправлено форматирование столбца "Срок доставки на склад 4х4" в таблице расчёта закупки</t>
  </si>
  <si>
    <t>запрос котировок/цен</t>
  </si>
  <si>
    <t>Увеличена ширина и изменено форматирование ячейки "Контрагент" на листе согласования</t>
  </si>
  <si>
    <t>источник</t>
  </si>
  <si>
    <t>GPL</t>
  </si>
  <si>
    <t>вход</t>
  </si>
  <si>
    <t>Исправления:</t>
  </si>
  <si>
    <t>Улучшения:</t>
  </si>
  <si>
    <t>Удалены правила проверки вводимых данных в ячейке "Срок гарантии" на листе согласования</t>
  </si>
  <si>
    <t>Бубанков Г.Е.</t>
  </si>
  <si>
    <t>Ванюшин С.Н.</t>
  </si>
  <si>
    <t>Синиченко С.В.</t>
  </si>
  <si>
    <t>Ширяев А.М.</t>
  </si>
  <si>
    <t>Сорокин А.В.</t>
  </si>
  <si>
    <t>служ_колонки</t>
  </si>
  <si>
    <t>Строка</t>
  </si>
  <si>
    <t>Способ</t>
  </si>
  <si>
    <t>Источник</t>
  </si>
  <si>
    <t>Процент</t>
  </si>
  <si>
    <t>Добавлена возможность выбирать источник цен для расчёта (GPL или вход) у каждой позиции КП с помощью новой служебной колонки "Источник" на листе расчёта продажи</t>
  </si>
  <si>
    <t>Кнопки добавления новых строк в таблицу расчёта закупки заменены на +5 и +20</t>
  </si>
  <si>
    <t>v0.99</t>
  </si>
  <si>
    <t>Единица измерения</t>
  </si>
  <si>
    <t>Если у строки в таблице расчёта закупке не указан индекс, а значит она не войдёт в расчёт продажи, то цвет текста в такой строке меняется на светло-серый</t>
  </si>
  <si>
    <t>менеджеры_должность</t>
  </si>
  <si>
    <t>Менеджер департамента продаж</t>
  </si>
  <si>
    <t>Технический директор</t>
  </si>
  <si>
    <t>Старший специалист отдела сопровождения проектов</t>
  </si>
  <si>
    <t>Руководитель департамента закупок и логистики</t>
  </si>
  <si>
    <t>Генеральный директор</t>
  </si>
  <si>
    <t>Руководитель проектов</t>
  </si>
  <si>
    <t>Директор по развитию бизнеса</t>
  </si>
  <si>
    <t>Руководитель сервисного центра</t>
  </si>
  <si>
    <t>приложения к договору</t>
  </si>
  <si>
    <t>Добавлена возможность экспорта КП на бланк в Word и в отдельную книгу Excel</t>
  </si>
  <si>
    <t>Исправлено форматирование и проверка данных в некоторых ячейках на листе согласования</t>
  </si>
  <si>
    <t>Известные ошибки:</t>
  </si>
  <si>
    <t>Ошибка "Out of memory" при попытке создания комплект из более чем ~50 наименований в связи с ограничением Excel на количество символов в одной ячейке</t>
  </si>
  <si>
    <t>Курс ЦБ РФ на 26.08.2017</t>
  </si>
  <si>
    <t>13
Срок поставки</t>
  </si>
  <si>
    <t>14
Поставщик</t>
  </si>
  <si>
    <t>15
Примечания</t>
  </si>
  <si>
    <t>16
Вес</t>
  </si>
  <si>
    <t>17
Всего</t>
  </si>
  <si>
    <t>18
Объём</t>
  </si>
  <si>
    <t>19
Всего</t>
  </si>
  <si>
    <t>20
Валюта</t>
  </si>
  <si>
    <t>21
Цена GPL</t>
  </si>
  <si>
    <t>22
Валюта</t>
  </si>
  <si>
    <t>23
Цена Вход</t>
  </si>
  <si>
    <t>24
НДС закупки</t>
  </si>
  <si>
    <t>25
Сумма GPL</t>
  </si>
  <si>
    <t>26
Сумма Вход</t>
  </si>
  <si>
    <t>12
НДС вход</t>
  </si>
  <si>
    <t>При выделении одной или нескольких ячеек в столбцах "Цена GPL" (21) и "Цена входа" (23) к ним добавляется комментарий, содержащий "p/n" и "Наименование" соответствующего товара</t>
  </si>
  <si>
    <t>При вставке в столбцы "Цена GPL" (21) и "Цена входа" (23) строки содержащей точку на конце, все остальные десятичные разделители будут проигнорированы. Например, строка "1 234,50 р." будет распознана как число "123450"</t>
  </si>
  <si>
    <t>Добавлена возможность вводить формулы в ячейки столбцов "Цена GPL" (21) и "Цена входа" (23) на листе расчёта закупки (но не вставлять!)</t>
  </si>
  <si>
    <t>Добавлена колонка "НДС входа" (12) для возможности расчёта продуктов н/о НДС и с НДС в одном КП. Например, если мы покупаем право на использование ПО, которое не облагается НДС, но хотим продать его без сублицензионного договора добавив НДС к стоимости продуктов, то достаточно проставить "н/о НДС" в столбце "НДС закупки" (24) и "с НДС" (или "без НДС") в столбце "НДС входа" (12). В этом случае при расчёте КП НДС будет автоматически добавлен к цене этого продукта.</t>
  </si>
  <si>
    <r>
      <t>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</si>
  <si>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r>
      <t>Общий объем, м</t>
    </r>
    <r>
      <rPr>
        <vertAlign val="superscript"/>
        <sz val="11"/>
        <color theme="1"/>
        <rFont val="Calibri"/>
        <family val="1"/>
        <charset val="204"/>
        <scheme val="minor"/>
      </rPr>
      <t>3</t>
    </r>
  </si>
  <si>
    <t>1</t>
  </si>
  <si>
    <t>2</t>
  </si>
  <si>
    <t>3</t>
  </si>
  <si>
    <t>4</t>
  </si>
  <si>
    <t>5</t>
  </si>
  <si>
    <t>6</t>
  </si>
  <si>
    <t>7</t>
  </si>
  <si>
    <t>СХД HPE MSA 2050 SAN DC SFF Storage в составе:</t>
  </si>
  <si>
    <t>1.1</t>
  </si>
  <si>
    <t>HPE</t>
  </si>
  <si>
    <t>Q1J01A</t>
  </si>
  <si>
    <t>HPE MSA 2050 SAN DC SFF Storage</t>
  </si>
  <si>
    <t>J9F48A</t>
  </si>
  <si>
    <t>HPE MSA 1.2TB 12G SAS 10K 2.5in ENT HDD</t>
  </si>
  <si>
    <t>J9F48A#0D1</t>
  </si>
  <si>
    <t>Factory integrated</t>
  </si>
  <si>
    <t>C8R25B</t>
  </si>
  <si>
    <t>HPE MSA 10Gb SR iSCSI SFP 4pk XCVR</t>
  </si>
  <si>
    <t>C8R25B#0D1</t>
  </si>
  <si>
    <t>H7J32A3</t>
  </si>
  <si>
    <t>HPE 3Y Foundation Care NBD Service</t>
  </si>
  <si>
    <t>H7J32A3#RC0</t>
  </si>
  <si>
    <t>HPE MSA 2050 Storage Support</t>
  </si>
  <si>
    <t>Серверы HPE DL380 Gen10 8SFF CTO Server (Вариант 1) в составе:</t>
  </si>
  <si>
    <t>2.1</t>
  </si>
  <si>
    <t>868703-B21</t>
  </si>
  <si>
    <t>HPE DL380 Gen10 8SFF CTO Server</t>
  </si>
  <si>
    <t>868703-B21  B19</t>
  </si>
  <si>
    <t>Europe - Multilingual Localization</t>
  </si>
  <si>
    <t>2.3</t>
  </si>
  <si>
    <t>826852-L21</t>
  </si>
  <si>
    <t>HPE DL380 Gen10 4116 Xeon-S FIO Kit</t>
  </si>
  <si>
    <t>2.4</t>
  </si>
  <si>
    <t>826852-B21</t>
  </si>
  <si>
    <t>HPE DL380 Gen10 4116 Xeon-S Kit</t>
  </si>
  <si>
    <t>826852-B21  0D1</t>
  </si>
  <si>
    <t>2.5</t>
  </si>
  <si>
    <t>826706-B21</t>
  </si>
  <si>
    <t>HPE DL380 Gen10 High Perf Heatsink Kit</t>
  </si>
  <si>
    <t>826706-B21  0D1</t>
  </si>
  <si>
    <t>2.7</t>
  </si>
  <si>
    <t>815100-B21</t>
  </si>
  <si>
    <t>HPE 32GB 2Rx4 PC4-2666V-R Smart Kit</t>
  </si>
  <si>
    <t>815100-B21  0D1</t>
  </si>
  <si>
    <t>2.9</t>
  </si>
  <si>
    <t>869374-B21</t>
  </si>
  <si>
    <t>HPE 150GB SATA 6G RI SFF SC DS SSD</t>
  </si>
  <si>
    <t>869374-B21  0D1</t>
  </si>
  <si>
    <t>2.11</t>
  </si>
  <si>
    <t>Q0J62A</t>
  </si>
  <si>
    <t>NVIDIA Tesla M10 Quad GPU Module</t>
  </si>
  <si>
    <t>Q0J62A      0D1</t>
  </si>
  <si>
    <t>2.13</t>
  </si>
  <si>
    <t>700751-B21</t>
  </si>
  <si>
    <t>HPE FlexFabric 10Gb 2P 534FLR-SFP+ Adptr</t>
  </si>
  <si>
    <t>700751-B21  0D1</t>
  </si>
  <si>
    <t>2.15</t>
  </si>
  <si>
    <t>733660-B21</t>
  </si>
  <si>
    <t>HPE 2U SFF Easy Install Rail Kit</t>
  </si>
  <si>
    <t>733660-B21  0D1</t>
  </si>
  <si>
    <t>2.17</t>
  </si>
  <si>
    <t>871828-B21</t>
  </si>
  <si>
    <t>HPE DL380 Gen10 8P Cable Kit</t>
  </si>
  <si>
    <t>871828-B21  0D1</t>
  </si>
  <si>
    <t>2.19</t>
  </si>
  <si>
    <t>865408-B21</t>
  </si>
  <si>
    <t>HPE 500W FS Plat Ht Plg LH Pwr Sply Kit</t>
  </si>
  <si>
    <t>865408-B21  0D1</t>
  </si>
  <si>
    <t>2.21</t>
  </si>
  <si>
    <t>867810-B21</t>
  </si>
  <si>
    <t>HPE DL38X Gen10 High Perf Fan</t>
  </si>
  <si>
    <t>867810-B21  0D1</t>
  </si>
  <si>
    <t>2.23</t>
  </si>
  <si>
    <t>2.24</t>
  </si>
  <si>
    <t>H7J32A3#WAH</t>
  </si>
  <si>
    <t>HPE DL380 Gen10 Support</t>
  </si>
  <si>
    <t>2.25</t>
  </si>
  <si>
    <t>455883-B21</t>
  </si>
  <si>
    <t>HPE BLc 10G SFP+ SR Transceiver</t>
  </si>
  <si>
    <t>2.26</t>
  </si>
  <si>
    <t>FS</t>
  </si>
  <si>
    <t>SFP-10GSR-85</t>
  </si>
  <si>
    <t>HPE BladeSystem 455883-B21 Совместимый 10GBASE-SR Модуль SFP+ 850nm 300m DOM</t>
  </si>
  <si>
    <t>9</t>
  </si>
  <si>
    <t>Прочее</t>
  </si>
  <si>
    <t>9.1</t>
  </si>
  <si>
    <t>HP</t>
  </si>
  <si>
    <t>X9S64EA</t>
  </si>
  <si>
    <t xml:space="preserve">HP t630 DM AMD GX-420GI(2Ghz)/4096Mb/32Gb/WiFi/war 3y/WES7E </t>
  </si>
  <si>
    <t>9.2</t>
  </si>
  <si>
    <t>Ubiquiti</t>
  </si>
  <si>
    <t>ERPro-8(EU)</t>
  </si>
  <si>
    <t>Ubiquiti Edgerouter PRO</t>
  </si>
  <si>
    <t>9.3</t>
  </si>
  <si>
    <t>J9984A</t>
  </si>
  <si>
    <t xml:space="preserve">J9984A HP 1820-48G-PoE+ (370W) Switch (24 ports 10/100/1000 + 24 ports 10/100/1000 PoE+ + 4 SFP, WEB </t>
  </si>
  <si>
    <t>9.4</t>
  </si>
  <si>
    <t>FC-D2-503-LC/PR-LC/PR-H-2M-LSZH-AQ</t>
  </si>
  <si>
    <t>Патч-корд волоконно-оптический (шнур) MM 50/125(OM3), LC-LC, duplex, 10G/40G, LSZH, 2 м</t>
  </si>
  <si>
    <t>9.5</t>
  </si>
  <si>
    <t>FC-D2-503-LC/PR-LC/PR-H-3M-LSZH-AQ</t>
  </si>
  <si>
    <t xml:space="preserve"> Патч-корд волоконно-оптический (шнур) MM 50/125(OM3), LC-LC, duplex, 10G/40G, LSZH, 3 м</t>
  </si>
  <si>
    <t>9.6</t>
  </si>
  <si>
    <t>Extreme Network</t>
  </si>
  <si>
    <t xml:space="preserve">Коммутатор Extreme X620-10x </t>
  </si>
  <si>
    <t>9.7</t>
  </si>
  <si>
    <t>Коммутатор Extreme 210-12t-GE2</t>
  </si>
  <si>
    <t>9.8</t>
  </si>
  <si>
    <t>Трансивер Extreme 10GBASE-SR SFP+, 850nm, LC Connector, transmission length of up to 300m on MM</t>
  </si>
  <si>
    <t>9.9</t>
  </si>
  <si>
    <t>Extreme Networks 10301 Совместимый 10GBASE-SR Модуль SFP+ 850nm 300m DOM</t>
  </si>
  <si>
    <t>9.10</t>
  </si>
  <si>
    <t>10051H</t>
  </si>
  <si>
    <t>Трансивер Extreme 1000BASE-SX SFP, MMF 210 &amp; 550 meters, LC connector, Industrial Temp</t>
  </si>
  <si>
    <t>9.11</t>
  </si>
  <si>
    <t>SFP1G-SX-85</t>
  </si>
  <si>
    <t xml:space="preserve">Extreme Networks 10051H Совместимый 1000BASE-SX Модуль SFP 850nm 550m </t>
  </si>
  <si>
    <t>9.12</t>
  </si>
  <si>
    <t>NVIDIA</t>
  </si>
  <si>
    <t>711-5GRID-VWS0-002</t>
  </si>
  <si>
    <t>GRID vWS Perpetual License, 1 CCU</t>
  </si>
  <si>
    <t>9.13</t>
  </si>
  <si>
    <t>712-5GRID-VWS0-NP0</t>
  </si>
  <si>
    <t>GRID vWS Prod SUMS 1st year 1CCU</t>
  </si>
  <si>
    <t>Телефония AVAYA</t>
  </si>
  <si>
    <t>6.1</t>
  </si>
  <si>
    <t>AVAYA</t>
  </si>
  <si>
    <t>IP OFFICE 500 VERSION 2 CONTROL UNIT</t>
  </si>
  <si>
    <t>6.2</t>
  </si>
  <si>
    <t>IP OFFICE POWER LEAD (EARTHED) EUROPEAN CEE7/7</t>
  </si>
  <si>
    <t>6.3</t>
  </si>
  <si>
    <t>IP OFFICE IP500 RACK MOUNTING KIT</t>
  </si>
  <si>
    <t>6.4</t>
  </si>
  <si>
    <t>IP OFFICE IP500 V2 SYSTEM SD CARD A-LAW</t>
  </si>
  <si>
    <t>6.5</t>
  </si>
  <si>
    <t>IP OFFICE MEDIA CARD VOICE (VCM) CODING MODULE 32 V2</t>
  </si>
  <si>
    <t>6.6</t>
  </si>
  <si>
    <t>IPO IP500 EXP CARD 4PT</t>
  </si>
  <si>
    <t>6.7</t>
  </si>
  <si>
    <t>IPO IP500 EXP MOD DS30A DGTL ST RJ21</t>
  </si>
  <si>
    <t>6.8</t>
  </si>
  <si>
    <t>1416 TELSET FOR CM/IE/IPO UpN</t>
  </si>
  <si>
    <t>6.9</t>
  </si>
  <si>
    <t>1151C1 Power Supply</t>
  </si>
  <si>
    <t>6.10</t>
  </si>
  <si>
    <t>DBM32 BUTTON MOD FOR 1400 SERIES</t>
  </si>
  <si>
    <t>6.11</t>
  </si>
  <si>
    <t>1408 TELSET FOR CM/IE/IPO UpN</t>
  </si>
  <si>
    <t>6.12</t>
  </si>
  <si>
    <t>IPO REM TECH SUPT 8X5 - IP500 V2 1YPP</t>
  </si>
  <si>
    <t>6.13</t>
  </si>
  <si>
    <t>IP OFFICE R10 ESSENTIAL EDITION PLDS LIC:DS</t>
  </si>
  <si>
    <t>6.14</t>
  </si>
  <si>
    <t>IP Office R10 SIP Trunk 1 PLDS License</t>
  </si>
  <si>
    <t>6.15</t>
  </si>
  <si>
    <t>IP OFFICE R10 AVAYA IP ENDPOINT 1 PLDS LIC:CU</t>
  </si>
  <si>
    <t>ПО Microsoft</t>
  </si>
  <si>
    <t>7.2</t>
  </si>
  <si>
    <t>Microsoft</t>
  </si>
  <si>
    <t>9EA-00128</t>
  </si>
  <si>
    <t>WinSvrDCCore 2016 SNGL OLP 2Lic NL CoreLic Qlfd</t>
  </si>
  <si>
    <t>7.3</t>
  </si>
  <si>
    <t>R18-05121</t>
  </si>
  <si>
    <t>WinSvrCAL 2016 SNGL OLP NL DvcCAL</t>
  </si>
  <si>
    <t>7.4</t>
  </si>
  <si>
    <t>228-10817</t>
  </si>
  <si>
    <t>SQLSvrStd 2016 SNGL OLP NL</t>
  </si>
  <si>
    <t>7.5</t>
  </si>
  <si>
    <t>359-06320</t>
  </si>
  <si>
    <t>SQLCAL 2016 SNGL OLP NL DvcCAL</t>
  </si>
  <si>
    <t>7.10</t>
  </si>
  <si>
    <t>4ZF-00002</t>
  </si>
  <si>
    <t>VDAE3PerDvc ALNG SubsVL OLV NL 1Mth AP PerDvc</t>
  </si>
  <si>
    <t>FQC-09481</t>
  </si>
  <si>
    <t>WinPro 10 SNGL OLP NL Legalization GetGenuine wCOA</t>
  </si>
  <si>
    <t>7.8</t>
  </si>
  <si>
    <t>9EP-00098</t>
  </si>
  <si>
    <t>Microsoft®SysCtrDataCenterCore Sngl License/SoftwareAssurancePack OLP 16Licenses NoLevel CoreLic Qualified</t>
  </si>
  <si>
    <t>7.9</t>
  </si>
  <si>
    <t>TSC-00560</t>
  </si>
  <si>
    <t>Microsoft®SysCtrDataPrtcnMgrCltMgmtLic Sngl License/SoftwareAssurancePack OLP 1License NoLevel PerOSE</t>
  </si>
  <si>
    <t>E9R-00006</t>
  </si>
  <si>
    <t>VDIStew/MDOP SNGL SubsVL OLV NL 1Mth AP PerDvc</t>
  </si>
  <si>
    <t>F2R-00006</t>
  </si>
  <si>
    <t>VDIStew/oMDOP SNGL SubsVL OLV NL 1Mth AP PerDvc</t>
  </si>
  <si>
    <t>7.12</t>
  </si>
  <si>
    <t>E9R-00004</t>
  </si>
  <si>
    <t>VDIStew/MDOP ALNG SubsVL OLV NL 1Mth AP PerDvc</t>
  </si>
  <si>
    <t>7.11</t>
  </si>
  <si>
    <t>F2R-00004</t>
  </si>
  <si>
    <t>VDIStew/oMDOP ALNG SubsVL OLV NL 1Mth AP PerDvc</t>
  </si>
  <si>
    <t>8</t>
  </si>
  <si>
    <t>МСЭ Palo Alto</t>
  </si>
  <si>
    <t>Palo Alto</t>
  </si>
  <si>
    <t>PAN-PA-850</t>
  </si>
  <si>
    <t>Palo Alto 850</t>
  </si>
  <si>
    <t>PAN-SVC-BKLN-850</t>
  </si>
  <si>
    <t>Support, 1 year</t>
  </si>
  <si>
    <t>PAN-PA-850-TP-HA2</t>
  </si>
  <si>
    <t>Threat Prevention, 1 year</t>
  </si>
  <si>
    <t>PAN-PA-850-WF-HA2</t>
  </si>
  <si>
    <t>WildFire, 1 year</t>
  </si>
  <si>
    <t>PAN-PA-850-GP-HA2</t>
  </si>
  <si>
    <t>GlobalProtect, 1 year</t>
  </si>
  <si>
    <t>8.6</t>
  </si>
  <si>
    <t>PAN-SFP-SX</t>
  </si>
  <si>
    <t>Palo Alto SFP 1G Transceiver</t>
  </si>
  <si>
    <t>8.7</t>
  </si>
  <si>
    <t>8.1</t>
  </si>
  <si>
    <t xml:space="preserve">PAN-PA-820 </t>
  </si>
  <si>
    <t>Palo Alto Networks PA-820</t>
  </si>
  <si>
    <t>8.2</t>
  </si>
  <si>
    <t>PAN-PA-820-TP-HA2</t>
  </si>
  <si>
    <t>Threat prevention subscription for devices in HA pair, PA-820</t>
  </si>
  <si>
    <t>8.3</t>
  </si>
  <si>
    <t>PAN-PA-820-WF-HA2</t>
  </si>
  <si>
    <t>WildFire subscription for devices in HA pair, PA-820</t>
  </si>
  <si>
    <t>8.4</t>
  </si>
  <si>
    <t>PAN-PA-820-GP-HA2</t>
  </si>
  <si>
    <t>GlobalProtect subscription for devices in HA pair, PA-820</t>
  </si>
  <si>
    <t>8.5</t>
  </si>
  <si>
    <t>PAN-SVC-BKLN-820</t>
  </si>
  <si>
    <t>Partner enabled premium support year 1, PA-820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</si>
  <si>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</si>
  <si>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</si>
  <si>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</si>
  <si>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</si>
  <si>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</si>
  <si>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</si>
  <si>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</si>
  <si>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</si>
  <si>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</si>
  <si>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</si>
  <si>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R27</t>
  </si>
  <si>
    <t>R28</t>
  </si>
  <si>
    <t>R30</t>
  </si>
  <si>
    <t>R32</t>
  </si>
  <si>
    <t>R34</t>
  </si>
  <si>
    <t>R36</t>
  </si>
  <si>
    <t>R38</t>
  </si>
  <si>
    <t>R40</t>
  </si>
  <si>
    <t>R42</t>
  </si>
  <si>
    <t>R44</t>
  </si>
  <si>
    <t>R46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</si>
  <si>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</si>
  <si>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</si>
  <si>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</si>
  <si>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</si>
  <si>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</si>
  <si>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</si>
  <si>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</si>
  <si>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</si>
  <si>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</si>
  <si>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</si>
  <si>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</si>
  <si>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</si>
  <si>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</si>
  <si>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</si>
  <si>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</si>
  <si>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</si>
  <si>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</si>
  <si>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</si>
  <si>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</si>
  <si>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</si>
  <si>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</si>
  <si>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</si>
  <si>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</si>
  <si>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</si>
  <si>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</si>
  <si>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</si>
  <si>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</si>
  <si>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</si>
  <si>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</si>
  <si>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</si>
  <si>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</si>
  <si>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</si>
  <si>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</si>
  <si>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</si>
  <si>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</si>
  <si>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</si>
  <si>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R84</t>
  </si>
  <si>
    <t>R85</t>
  </si>
  <si>
    <t>R86</t>
  </si>
  <si>
    <t>R87</t>
  </si>
  <si>
    <t>R89</t>
  </si>
  <si>
    <t>R90</t>
  </si>
  <si>
    <t>R93</t>
  </si>
  <si>
    <t>R94</t>
  </si>
  <si>
    <t>R95</t>
  </si>
  <si>
    <t>R101</t>
  </si>
  <si>
    <t>R102</t>
  </si>
  <si>
    <t>R104</t>
  </si>
  <si>
    <t>R105</t>
  </si>
  <si>
    <t>R106</t>
  </si>
  <si>
    <t>R107</t>
  </si>
  <si>
    <t>R108</t>
  </si>
  <si>
    <t>p/n</t>
  </si>
  <si>
    <t>Ед. изм.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</si>
  <si>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</si>
  <si>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</si>
  <si>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</si>
  <si>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</si>
  <si>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</si>
  <si>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</si>
  <si>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</si>
  <si>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</si>
  <si>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</si>
  <si>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2.10</t>
  </si>
  <si>
    <t>2.12</t>
  </si>
  <si>
    <t>2.14</t>
  </si>
  <si>
    <t>2.16</t>
  </si>
  <si>
    <t>6.01</t>
  </si>
  <si>
    <t>6.02</t>
  </si>
  <si>
    <t>6.03</t>
  </si>
  <si>
    <t>6.04</t>
  </si>
  <si>
    <t>6.05</t>
  </si>
  <si>
    <t>6.06</t>
  </si>
  <si>
    <t>6.07</t>
  </si>
  <si>
    <t>6.08</t>
  </si>
  <si>
    <t>6.09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</si>
  <si>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</si>
  <si>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</si>
  <si>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</si>
  <si>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</si>
  <si>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</si>
  <si>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</si>
  <si>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</si>
  <si>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</si>
  <si>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</si>
  <si>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3.10</t>
  </si>
  <si>
    <t>3.11</t>
  </si>
  <si>
    <t>3.12</t>
  </si>
  <si>
    <t>3.13</t>
  </si>
  <si>
    <t>3.14</t>
  </si>
  <si>
    <t>3.15</t>
  </si>
  <si>
    <t>4.1</t>
  </si>
  <si>
    <t>4.2</t>
  </si>
  <si>
    <t>4.3</t>
  </si>
  <si>
    <t>4.4</t>
  </si>
  <si>
    <t>4.7</t>
  </si>
  <si>
    <t>4.5</t>
  </si>
  <si>
    <t>4.6</t>
  </si>
  <si>
    <t>4.9</t>
  </si>
  <si>
    <t>4.8</t>
  </si>
  <si>
    <t>5.6</t>
  </si>
  <si>
    <t>5.7</t>
  </si>
  <si>
    <t>5.1</t>
  </si>
  <si>
    <t>5.2</t>
  </si>
  <si>
    <t>5.3</t>
  </si>
  <si>
    <t>5.4</t>
  </si>
  <si>
    <t>5.5</t>
  </si>
  <si>
    <t>1.1.0</t>
  </si>
  <si>
    <t>1.1.1</t>
  </si>
  <si>
    <t>1.1.2</t>
  </si>
  <si>
    <t>1.1.3</t>
  </si>
  <si>
    <t>1.1.4</t>
  </si>
  <si>
    <t>1.1.5</t>
  </si>
  <si>
    <t>1.1.6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</si>
</sst>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8" formatCode="#,##0.00\ &quot;$&quot;;[Red]\-#,##0.00\ &quot;$&quot;"/>
    <numFmt numFmtId="164" formatCode="[$$-1009]#,##0.00"/>
    <numFmt numFmtId="165" formatCode="#,##0.00&quot;р.&quot;"/>
    <numFmt numFmtId="166" formatCode="_(&quot;$&quot;* #,##0.00_);_(&quot;$&quot;* \(#,##0.00\);_(&quot;$&quot;* &quot;-&quot;??_);_(@_)"/>
    <numFmt numFmtId="167" formatCode="0.00%;[Red]\-0.00%"/>
    <numFmt numFmtId="168" formatCode="#,##0.0000\ [$₽-419]_-;[Red]\-#,##0.0000\ [$₽-419]_-;&quot;-&quot;??\ [$₽-419]_-"/>
    <numFmt numFmtId="169" formatCode="#,##0.00\ [$₽-419]_-;[Red]\-#,##0.00\ [$₽-419]_-;&quot;-&quot;??\ [$₽-419]_-"/>
    <numFmt numFmtId="170" formatCode="0\ &quot;мес.&quot;"/>
    <numFmt numFmtId="171" formatCode="&quot;г.&quot;\ @"/>
    <numFmt numFmtId="172" formatCode="&quot;/&quot;\ @\ &quot;/&quot;"/>
    <numFmt numFmtId="173" formatCode="[$-FC19]dd\ mmmm\ yyyy\ \г\ h:mm;@"/>
    <numFmt numFmtId="174" formatCode="0\ &quot;дн.&quot;"/>
    <numFmt numFmtId="175" formatCode="@&quot;         &quot;"/>
    <numFmt numFmtId="176" formatCode="#,##0.00\ [$₽-419];\-#,##0.00\ [$₽-419]"/>
    <numFmt numFmtId="177" formatCode=";;&quot;&quot;;@"/>
    <numFmt numFmtId="178" formatCode="0;;;@"/>
    <numFmt numFmtId="179" formatCode="#,##0.00;[Red]\-#,##0.00;&quot;-&quot;??\ 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name val="Calibri"/>
      <family val="2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scheme val="minor"/>
    </font>
    <font>
      <sz val="10"/>
      <name val="Calibri"/>
      <family val="2"/>
    </font>
    <font>
      <sz val="10"/>
      <color rgb="FF000000"/>
      <name val="Century Gothic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vertAlign val="superscript"/>
      <sz val="11"/>
      <color theme="1"/>
      <name val="Century Gothic"/>
      <family val="2"/>
      <charset val="204"/>
    </font>
    <font>
      <b/>
      <sz val="12"/>
      <color theme="1"/>
      <name val="Century"/>
      <family val="1"/>
      <charset val="204"/>
    </font>
    <font>
      <sz val="11"/>
      <color theme="1"/>
      <name val="Century"/>
      <family val="1"/>
      <charset val="204"/>
    </font>
    <font>
      <sz val="14"/>
      <color theme="1"/>
      <name val="Century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sz val="10"/>
      <color rgb="FF222222"/>
      <name val="Century Gothic"/>
      <family val="2"/>
      <charset val="204"/>
    </font>
    <font>
      <b/>
      <sz val="10"/>
      <color theme="5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14"/>
      <color theme="1"/>
      <name val="Century"/>
      <family val="1"/>
      <charset val="204"/>
    </font>
    <font>
      <sz val="8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i/>
      <sz val="9"/>
      <color indexed="81"/>
      <name val="Tahoma"/>
      <family val="2"/>
      <charset val="204"/>
    </font>
    <font>
      <i/>
      <u/>
      <sz val="9"/>
      <color indexed="81"/>
      <name val="Tahoma"/>
      <family val="2"/>
      <charset val="204"/>
    </font>
    <font>
      <sz val="9"/>
      <color theme="1"/>
      <name val="Tahoma"/>
      <family val="2"/>
      <charset val="204"/>
    </font>
    <font>
      <i/>
      <u/>
      <sz val="9"/>
      <color theme="1"/>
      <name val="Tahoma"/>
      <family val="2"/>
      <charset val="204"/>
    </font>
    <font>
      <b/>
      <sz val="9"/>
      <color theme="1"/>
      <name val="Tahoma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entury Gothic"/>
      <family val="2"/>
      <charset val="204"/>
    </font>
    <font>
      <sz val="10"/>
      <name val="Century Gothic"/>
      <family val="2"/>
      <charset val="204"/>
    </font>
    <font>
      <sz val="11"/>
      <color theme="1"/>
      <name val="Century Gothic"/>
      <family val="2"/>
      <charset val="204"/>
    </font>
    <font>
      <b/>
      <sz val="10"/>
      <color theme="1"/>
      <name val="Century"/>
      <family val="1"/>
      <charset val="204"/>
    </font>
    <font>
      <b/>
      <sz val="10"/>
      <color theme="1"/>
      <name val="Century Gothic"/>
      <family val="2"/>
      <charset val="204"/>
    </font>
    <font>
      <b/>
      <sz val="10"/>
      <color rgb="FFC00000"/>
      <name val="Century Gothic"/>
      <family val="2"/>
      <charset val="204"/>
    </font>
    <font>
      <b/>
      <sz val="10"/>
      <color rgb="FFFF0000"/>
      <name val="Century Gothic"/>
      <family val="2"/>
      <charset val="204"/>
    </font>
    <font>
      <sz val="10"/>
      <name val="Century"/>
      <family val="1"/>
      <charset val="204"/>
    </font>
    <font>
      <b/>
      <vertAlign val="subscript"/>
      <sz val="12"/>
      <name val="Century"/>
      <family val="1"/>
      <charset val="204"/>
    </font>
    <font>
      <i/>
      <sz val="9"/>
      <color theme="1" tint="0.34998626667073579"/>
      <name val="Century Gothic"/>
      <family val="2"/>
      <charset val="204"/>
    </font>
    <font>
      <b/>
      <sz val="9"/>
      <color theme="1" tint="0.34998626667073579"/>
      <name val="Century Gothic"/>
      <family val="2"/>
      <charset val="204"/>
    </font>
    <font>
      <b/>
      <sz val="10"/>
      <name val="Century"/>
      <family val="1"/>
      <charset val="204"/>
    </font>
    <font>
      <b/>
      <sz val="11"/>
      <color theme="1"/>
      <name val="Century"/>
      <family val="1"/>
      <charset val="204"/>
    </font>
    <font>
      <vertAlign val="superscript"/>
      <sz val="11"/>
      <color theme="1"/>
      <name val="Calibri"/>
      <family val="1"/>
      <charset val="204"/>
      <scheme val="minor"/>
    </font>
    <font>
      <sz val="10"/>
      <color theme="1"/>
      <name val="Century"/>
      <family val="1"/>
      <charset val="204"/>
    </font>
    <font>
      <sz val="8"/>
      <color theme="1"/>
      <name val="Century Gothic"/>
      <family val="2"/>
      <charset val="204"/>
    </font>
    <font>
      <sz val="10"/>
      <color rgb="FF222222"/>
      <name val="Century Gothic"/>
      <family val="2"/>
      <charset val="204"/>
    </font>
    <font>
      <b/>
      <sz val="10"/>
      <color theme="5"/>
      <name val="Century Gothic"/>
      <family val="2"/>
      <charset val="204"/>
    </font>
    <font>
      <sz val="10"/>
      <color rgb="FF000000"/>
      <name val="Century Gothic"/>
      <family val="2"/>
      <charset val="204"/>
    </font>
    <font>
      <b/>
      <sz val="10"/>
      <color rgb="FF000000"/>
      <name val="Century Gothic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E5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DF7EF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5" fillId="0" borderId="0"/>
    <xf numFmtId="0" fontId="2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0" fontId="9" fillId="0" borderId="0" applyNumberFormat="0" applyFill="0" applyBorder="0" applyAlignment="0" applyProtection="0"/>
    <xf numFmtId="0" fontId="1" fillId="0" borderId="0"/>
    <xf numFmtId="9" fontId="13" fillId="0" borderId="0" applyFont="0" applyFill="0" applyBorder="0" applyAlignment="0" applyProtection="0"/>
    <xf numFmtId="0" fontId="34" fillId="0" borderId="0"/>
  </cellStyleXfs>
  <cellXfs count="337">
    <xf numFmtId="0" fontId="0" fillId="0" borderId="0" xfId="0"/>
    <xf numFmtId="0" fontId="3" fillId="0" borderId="0" xfId="0" applyFont="1"/>
    <xf numFmtId="0" fontId="3" fillId="0" borderId="11" xfId="0" applyFont="1" applyBorder="1"/>
    <xf numFmtId="0" fontId="6" fillId="0" borderId="14" xfId="4" applyFont="1" applyBorder="1" applyProtection="1"/>
    <xf numFmtId="0" fontId="6" fillId="0" borderId="16" xfId="4" applyFont="1" applyBorder="1" applyProtection="1"/>
    <xf numFmtId="0" fontId="3" fillId="0" borderId="12" xfId="0" applyFont="1" applyBorder="1"/>
    <xf numFmtId="0" fontId="3" fillId="0" borderId="13" xfId="0" applyFont="1" applyBorder="1"/>
    <xf numFmtId="0" fontId="0" fillId="0" borderId="14" xfId="0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0" borderId="12" xfId="0" applyNumberFormat="1" applyFont="1" applyBorder="1"/>
    <xf numFmtId="0" fontId="3" fillId="0" borderId="13" xfId="0" applyNumberFormat="1" applyFont="1" applyBorder="1"/>
    <xf numFmtId="0" fontId="0" fillId="0" borderId="0" xfId="0" applyNumberFormat="1"/>
    <xf numFmtId="0" fontId="6" fillId="0" borderId="0" xfId="4" applyNumberFormat="1" applyFont="1" applyBorder="1" applyAlignment="1" applyProtection="1">
      <alignment horizontal="center"/>
    </xf>
    <xf numFmtId="0" fontId="6" fillId="0" borderId="15" xfId="4" applyNumberFormat="1" applyFont="1" applyBorder="1" applyAlignment="1" applyProtection="1">
      <alignment horizontal="center"/>
    </xf>
    <xf numFmtId="0" fontId="6" fillId="0" borderId="17" xfId="4" applyNumberFormat="1" applyFont="1" applyBorder="1" applyAlignment="1" applyProtection="1">
      <alignment horizontal="center"/>
    </xf>
    <xf numFmtId="0" fontId="6" fillId="0" borderId="18" xfId="4" applyNumberFormat="1" applyFont="1" applyBorder="1" applyAlignment="1" applyProtection="1">
      <alignment horizontal="center"/>
    </xf>
    <xf numFmtId="0" fontId="3" fillId="0" borderId="0" xfId="0" applyFont="1" applyBorder="1"/>
    <xf numFmtId="0" fontId="0" fillId="0" borderId="17" xfId="0" quotePrefix="1" applyBorder="1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171" fontId="14" fillId="0" borderId="0" xfId="0" applyNumberFormat="1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8" fillId="0" borderId="0" xfId="0" applyFont="1" applyBorder="1" applyAlignment="1">
      <alignment vertical="center"/>
    </xf>
    <xf numFmtId="174" fontId="14" fillId="0" borderId="0" xfId="0" applyNumberFormat="1" applyFont="1" applyBorder="1" applyAlignment="1">
      <alignment vertical="center"/>
    </xf>
    <xf numFmtId="0" fontId="20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9" xfId="0" applyNumberFormat="1" applyFont="1" applyFill="1" applyBorder="1" applyAlignment="1" applyProtection="1">
      <alignment horizontal="right" vertical="center" wrapText="1"/>
      <protection locked="0"/>
    </xf>
    <xf numFmtId="2" fontId="21" fillId="0" borderId="9" xfId="0" applyNumberFormat="1" applyFont="1" applyFill="1" applyBorder="1" applyAlignment="1" applyProtection="1">
      <alignment horizontal="center" vertical="center" wrapText="1"/>
      <protection locked="0"/>
    </xf>
    <xf numFmtId="169" fontId="21" fillId="0" borderId="9" xfId="0" applyNumberFormat="1" applyFont="1" applyFill="1" applyBorder="1" applyAlignment="1" applyProtection="1">
      <alignment horizontal="right" vertical="center" wrapText="1"/>
      <protection locked="0"/>
    </xf>
    <xf numFmtId="0" fontId="21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14" fillId="4" borderId="20" xfId="0" applyFont="1" applyFill="1" applyBorder="1" applyAlignment="1">
      <alignment horizontal="left" vertical="center"/>
    </xf>
    <xf numFmtId="4" fontId="14" fillId="4" borderId="20" xfId="0" applyNumberFormat="1" applyFont="1" applyFill="1" applyBorder="1" applyAlignment="1">
      <alignment vertical="center"/>
    </xf>
    <xf numFmtId="0" fontId="14" fillId="0" borderId="22" xfId="0" applyFont="1" applyBorder="1" applyAlignment="1">
      <alignment vertical="center"/>
    </xf>
    <xf numFmtId="0" fontId="15" fillId="0" borderId="23" xfId="0" applyFont="1" applyBorder="1" applyAlignment="1">
      <alignment horizontal="left" vertical="center"/>
    </xf>
    <xf numFmtId="0" fontId="14" fillId="0" borderId="23" xfId="0" applyFont="1" applyBorder="1" applyAlignment="1">
      <alignment vertical="center"/>
    </xf>
    <xf numFmtId="0" fontId="14" fillId="0" borderId="24" xfId="0" applyFont="1" applyBorder="1" applyAlignment="1">
      <alignment vertical="center"/>
    </xf>
    <xf numFmtId="0" fontId="18" fillId="0" borderId="25" xfId="0" applyFont="1" applyBorder="1" applyAlignment="1">
      <alignment vertical="center"/>
    </xf>
    <xf numFmtId="0" fontId="18" fillId="0" borderId="26" xfId="0" applyFont="1" applyBorder="1" applyAlignment="1">
      <alignment vertical="center"/>
    </xf>
    <xf numFmtId="0" fontId="14" fillId="0" borderId="25" xfId="0" applyFont="1" applyBorder="1" applyAlignment="1">
      <alignment vertical="center"/>
    </xf>
    <xf numFmtId="0" fontId="14" fillId="0" borderId="26" xfId="0" applyFont="1" applyBorder="1" applyAlignment="1">
      <alignment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vertical="center"/>
    </xf>
    <xf numFmtId="0" fontId="14" fillId="0" borderId="28" xfId="0" applyFont="1" applyBorder="1" applyAlignment="1">
      <alignment horizontal="left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0" borderId="23" xfId="0" applyFont="1" applyBorder="1" applyAlignment="1">
      <alignment vertical="center"/>
    </xf>
    <xf numFmtId="0" fontId="14" fillId="0" borderId="28" xfId="0" applyFont="1" applyBorder="1" applyAlignment="1">
      <alignment vertical="center"/>
    </xf>
    <xf numFmtId="0" fontId="14" fillId="0" borderId="29" xfId="0" applyFont="1" applyBorder="1" applyAlignment="1">
      <alignment vertical="center"/>
    </xf>
    <xf numFmtId="0" fontId="15" fillId="0" borderId="26" xfId="0" applyFont="1" applyBorder="1" applyAlignment="1">
      <alignment vertical="center"/>
    </xf>
    <xf numFmtId="0" fontId="14" fillId="0" borderId="26" xfId="0" applyFont="1" applyBorder="1" applyAlignment="1">
      <alignment vertical="center" wrapText="1"/>
    </xf>
    <xf numFmtId="0" fontId="14" fillId="0" borderId="26" xfId="0" applyFont="1" applyBorder="1" applyAlignment="1">
      <alignment horizontal="left" vertical="center"/>
    </xf>
    <xf numFmtId="0" fontId="25" fillId="0" borderId="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14" fillId="0" borderId="0" xfId="0" applyFont="1" applyAlignment="1"/>
    <xf numFmtId="0" fontId="14" fillId="0" borderId="0" xfId="0" applyFont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172" fontId="14" fillId="0" borderId="0" xfId="0" applyNumberFormat="1" applyFont="1" applyAlignment="1">
      <alignment vertical="center"/>
    </xf>
    <xf numFmtId="0" fontId="14" fillId="0" borderId="26" xfId="0" applyFont="1" applyFill="1" applyBorder="1" applyAlignment="1">
      <alignment vertical="center"/>
    </xf>
    <xf numFmtId="0" fontId="18" fillId="6" borderId="20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33" fillId="0" borderId="0" xfId="0" applyFont="1" applyAlignment="1">
      <alignment wrapText="1"/>
    </xf>
    <xf numFmtId="0" fontId="14" fillId="6" borderId="21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vertical="center"/>
    </xf>
    <xf numFmtId="0" fontId="14" fillId="6" borderId="20" xfId="0" applyFont="1" applyFill="1" applyBorder="1" applyAlignment="1">
      <alignment vertical="center"/>
    </xf>
    <xf numFmtId="0" fontId="14" fillId="6" borderId="21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35" fillId="0" borderId="0" xfId="0" applyFont="1" applyAlignment="1"/>
    <xf numFmtId="49" fontId="35" fillId="0" borderId="0" xfId="0" applyNumberFormat="1" applyFont="1" applyAlignment="1"/>
    <xf numFmtId="49" fontId="21" fillId="6" borderId="35" xfId="4" applyNumberFormat="1" applyFont="1" applyFill="1" applyBorder="1" applyAlignment="1" applyProtection="1">
      <alignment horizontal="center" vertical="center" wrapText="1"/>
    </xf>
    <xf numFmtId="0" fontId="36" fillId="0" borderId="0" xfId="4" applyFont="1" applyProtection="1">
      <protection locked="0"/>
    </xf>
    <xf numFmtId="0" fontId="36" fillId="0" borderId="0" xfId="4" applyNumberFormat="1" applyFont="1" applyProtection="1">
      <protection locked="0"/>
    </xf>
    <xf numFmtId="0" fontId="37" fillId="0" borderId="0" xfId="4" applyFont="1" applyProtection="1"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8" fillId="0" borderId="0" xfId="4" applyFont="1"/>
    <xf numFmtId="0" fontId="39" fillId="0" borderId="0" xfId="4" applyFont="1" applyAlignment="1" applyProtection="1">
      <alignment horizontal="center" vertical="center"/>
      <protection locked="0"/>
    </xf>
    <xf numFmtId="0" fontId="40" fillId="0" borderId="0" xfId="4" applyNumberFormat="1" applyFont="1" applyAlignment="1" applyProtection="1">
      <alignment vertical="center"/>
      <protection locked="0"/>
    </xf>
    <xf numFmtId="0" fontId="36" fillId="6" borderId="10" xfId="4" applyFont="1" applyFill="1" applyBorder="1" applyAlignment="1" applyProtection="1">
      <alignment horizontal="center" vertical="center"/>
      <protection locked="0"/>
    </xf>
    <xf numFmtId="22" fontId="36" fillId="0" borderId="0" xfId="4" applyNumberFormat="1" applyFont="1" applyBorder="1" applyAlignment="1" applyProtection="1">
      <alignment horizontal="right" vertical="top"/>
      <protection locked="0"/>
    </xf>
    <xf numFmtId="0" fontId="41" fillId="6" borderId="10" xfId="4" applyFont="1" applyFill="1" applyBorder="1" applyAlignment="1" applyProtection="1">
      <alignment horizontal="center" vertical="center"/>
      <protection locked="0"/>
    </xf>
    <xf numFmtId="0" fontId="37" fillId="0" borderId="0" xfId="4" applyNumberFormat="1" applyFont="1" applyProtection="1">
      <protection locked="0"/>
    </xf>
    <xf numFmtId="14" fontId="36" fillId="6" borderId="10" xfId="4" applyNumberFormat="1" applyFont="1" applyFill="1" applyBorder="1" applyAlignment="1" applyProtection="1">
      <alignment horizontal="center" vertical="center"/>
      <protection locked="0"/>
    </xf>
    <xf numFmtId="0" fontId="36" fillId="0" borderId="0" xfId="4" applyFont="1" applyBorder="1" applyAlignment="1" applyProtection="1">
      <alignment horizontal="right" vertical="center"/>
      <protection locked="0"/>
    </xf>
    <xf numFmtId="0" fontId="36" fillId="0" borderId="1" xfId="4" applyFont="1" applyBorder="1" applyAlignment="1" applyProtection="1">
      <alignment horizontal="center" vertical="center"/>
      <protection locked="0"/>
    </xf>
    <xf numFmtId="168" fontId="40" fillId="6" borderId="1" xfId="5" applyNumberFormat="1" applyFont="1" applyFill="1" applyBorder="1" applyAlignment="1" applyProtection="1">
      <alignment horizontal="right" vertical="center"/>
      <protection locked="0"/>
    </xf>
    <xf numFmtId="0" fontId="42" fillId="0" borderId="0" xfId="4" applyFont="1" applyAlignment="1" applyProtection="1">
      <alignment horizontal="right"/>
      <protection locked="0"/>
    </xf>
    <xf numFmtId="0" fontId="37" fillId="0" borderId="0" xfId="4" applyFont="1" applyAlignment="1" applyProtection="1">
      <alignment horizontal="right"/>
      <protection locked="0"/>
    </xf>
    <xf numFmtId="176" fontId="36" fillId="6" borderId="10" xfId="4" applyNumberFormat="1" applyFont="1" applyFill="1" applyBorder="1" applyAlignment="1" applyProtection="1">
      <alignment horizontal="center" vertical="center"/>
      <protection locked="0"/>
    </xf>
    <xf numFmtId="0" fontId="43" fillId="0" borderId="0" xfId="4" applyFont="1" applyAlignment="1" applyProtection="1">
      <alignment vertical="center"/>
      <protection locked="0"/>
    </xf>
    <xf numFmtId="0" fontId="44" fillId="0" borderId="0" xfId="4" applyFont="1" applyAlignment="1" applyProtection="1">
      <alignment horizontal="right"/>
      <protection locked="0"/>
    </xf>
    <xf numFmtId="0" fontId="37" fillId="0" borderId="0" xfId="4" applyFont="1" applyAlignment="1" applyProtection="1">
      <alignment vertical="center"/>
      <protection locked="0"/>
    </xf>
    <xf numFmtId="0" fontId="36" fillId="0" borderId="0" xfId="4" applyNumberFormat="1" applyFont="1" applyAlignment="1" applyProtection="1">
      <alignment vertical="center"/>
      <protection locked="0"/>
    </xf>
    <xf numFmtId="0" fontId="36" fillId="0" borderId="0" xfId="4" applyNumberFormat="1" applyFont="1" applyAlignment="1" applyProtection="1">
      <alignment horizontal="center" vertical="center"/>
      <protection locked="0"/>
    </xf>
    <xf numFmtId="0" fontId="36" fillId="5" borderId="1" xfId="4" applyFont="1" applyFill="1" applyBorder="1" applyAlignment="1" applyProtection="1">
      <alignment horizontal="center" vertical="center"/>
      <protection locked="0"/>
    </xf>
    <xf numFmtId="0" fontId="45" fillId="0" borderId="0" xfId="4" applyFont="1" applyAlignment="1" applyProtection="1">
      <alignment horizontal="right" vertical="center"/>
      <protection locked="0"/>
    </xf>
    <xf numFmtId="0" fontId="46" fillId="6" borderId="10" xfId="4" applyFont="1" applyFill="1" applyBorder="1" applyProtection="1">
      <protection locked="0"/>
    </xf>
    <xf numFmtId="0" fontId="46" fillId="5" borderId="10" xfId="4" applyFont="1" applyFill="1" applyBorder="1" applyProtection="1">
      <protection locked="0"/>
    </xf>
    <xf numFmtId="0" fontId="36" fillId="0" borderId="1" xfId="4" applyFont="1" applyFill="1" applyBorder="1" applyAlignment="1" applyProtection="1">
      <alignment horizontal="center" vertical="center"/>
      <protection hidden="1"/>
    </xf>
    <xf numFmtId="168" fontId="36" fillId="0" borderId="1" xfId="4" applyNumberFormat="1" applyFont="1" applyFill="1" applyBorder="1" applyAlignment="1" applyProtection="1">
      <alignment horizontal="right" vertical="center"/>
      <protection hidden="1"/>
    </xf>
    <xf numFmtId="14" fontId="36" fillId="5" borderId="1" xfId="4" applyNumberFormat="1" applyFont="1" applyFill="1" applyBorder="1" applyAlignment="1" applyProtection="1">
      <alignment horizontal="center" vertical="center"/>
      <protection locked="0"/>
    </xf>
    <xf numFmtId="0" fontId="46" fillId="7" borderId="10" xfId="4" applyFont="1" applyFill="1" applyBorder="1" applyProtection="1">
      <protection locked="0"/>
    </xf>
    <xf numFmtId="0" fontId="43" fillId="0" borderId="0" xfId="4" applyFont="1" applyProtection="1">
      <protection locked="0"/>
    </xf>
    <xf numFmtId="8" fontId="43" fillId="0" borderId="0" xfId="4" applyNumberFormat="1" applyFont="1" applyProtection="1">
      <protection locked="0"/>
    </xf>
    <xf numFmtId="0" fontId="50" fillId="0" borderId="0" xfId="4" applyFont="1" applyProtection="1">
      <protection locked="0"/>
    </xf>
    <xf numFmtId="164" fontId="39" fillId="0" borderId="32" xfId="4" applyNumberFormat="1" applyFont="1" applyBorder="1" applyAlignment="1" applyProtection="1">
      <alignment horizontal="center" vertical="top"/>
      <protection locked="0"/>
    </xf>
    <xf numFmtId="164" fontId="39" fillId="0" borderId="33" xfId="4" applyNumberFormat="1" applyFont="1" applyBorder="1" applyAlignment="1" applyProtection="1">
      <alignment horizontal="center" vertical="top"/>
      <protection locked="0"/>
    </xf>
    <xf numFmtId="164" fontId="39" fillId="0" borderId="36" xfId="4" applyNumberFormat="1" applyFont="1" applyBorder="1" applyAlignment="1" applyProtection="1">
      <alignment horizontal="center" vertical="top"/>
      <protection locked="0"/>
    </xf>
    <xf numFmtId="164" fontId="39" fillId="0" borderId="1" xfId="4" applyNumberFormat="1" applyFont="1" applyBorder="1" applyAlignment="1" applyProtection="1">
      <alignment horizontal="center" vertical="top" wrapText="1"/>
      <protection locked="0"/>
    </xf>
    <xf numFmtId="164" fontId="39" fillId="0" borderId="2" xfId="4" applyNumberFormat="1" applyFont="1" applyBorder="1" applyAlignment="1" applyProtection="1">
      <alignment horizontal="center" vertical="top" wrapText="1"/>
      <protection locked="0"/>
    </xf>
    <xf numFmtId="0" fontId="51" fillId="0" borderId="1" xfId="0" applyNumberFormat="1" applyFont="1" applyFill="1" applyBorder="1" applyAlignment="1" applyProtection="1">
      <alignment horizontal="center" vertical="top" wrapText="1"/>
      <protection locked="0"/>
    </xf>
    <xf numFmtId="0" fontId="51" fillId="0" borderId="2" xfId="0" applyNumberFormat="1" applyFont="1" applyFill="1" applyBorder="1" applyAlignment="1" applyProtection="1">
      <alignment horizontal="center" vertical="top" wrapText="1"/>
      <protection locked="0"/>
    </xf>
    <xf numFmtId="0" fontId="51" fillId="0" borderId="21" xfId="0" applyNumberFormat="1" applyFont="1" applyFill="1" applyBorder="1" applyAlignment="1" applyProtection="1">
      <alignment horizontal="center" vertical="top" wrapText="1"/>
      <protection locked="0"/>
    </xf>
    <xf numFmtId="0" fontId="51" fillId="0" borderId="10" xfId="0" applyNumberFormat="1" applyFont="1" applyFill="1" applyBorder="1" applyAlignment="1" applyProtection="1">
      <alignment horizontal="center" vertical="top" wrapText="1"/>
      <protection locked="0"/>
    </xf>
    <xf numFmtId="0" fontId="51" fillId="0" borderId="3" xfId="0" applyNumberFormat="1" applyFont="1" applyFill="1" applyBorder="1" applyAlignment="1" applyProtection="1">
      <alignment horizontal="center" vertical="top" wrapText="1"/>
      <protection locked="0"/>
    </xf>
    <xf numFmtId="0" fontId="51" fillId="0" borderId="0" xfId="4" applyFont="1" applyAlignment="1" applyProtection="1">
      <alignment vertical="top"/>
      <protection locked="0"/>
    </xf>
    <xf numFmtId="49" fontId="40" fillId="6" borderId="10" xfId="4" applyNumberFormat="1" applyFont="1" applyFill="1" applyBorder="1" applyAlignment="1" applyProtection="1">
      <alignment horizontal="center" vertical="center"/>
      <protection locked="0"/>
    </xf>
    <xf numFmtId="0" fontId="40" fillId="6" borderId="10" xfId="4" applyFont="1" applyFill="1" applyBorder="1" applyAlignment="1" applyProtection="1">
      <alignment horizontal="center" vertical="center" wrapText="1"/>
      <protection locked="0"/>
    </xf>
    <xf numFmtId="0" fontId="36" fillId="6" borderId="2" xfId="4" applyFont="1" applyFill="1" applyBorder="1" applyAlignment="1" applyProtection="1">
      <alignment horizontal="center" vertical="center" wrapText="1"/>
    </xf>
    <xf numFmtId="4" fontId="36" fillId="0" borderId="34" xfId="4" applyNumberFormat="1" applyFont="1" applyBorder="1" applyAlignment="1" applyProtection="1">
      <alignment horizontal="right" vertical="center"/>
    </xf>
    <xf numFmtId="4" fontId="36" fillId="0" borderId="35" xfId="4" applyNumberFormat="1" applyFont="1" applyBorder="1" applyAlignment="1" applyProtection="1">
      <alignment horizontal="right" vertical="center"/>
    </xf>
    <xf numFmtId="0" fontId="40" fillId="5" borderId="10" xfId="4" applyFont="1" applyFill="1" applyBorder="1" applyAlignment="1" applyProtection="1">
      <alignment horizontal="center" vertical="center"/>
      <protection locked="0"/>
    </xf>
    <xf numFmtId="0" fontId="36" fillId="7" borderId="10" xfId="4" applyFont="1" applyFill="1" applyBorder="1" applyAlignment="1" applyProtection="1">
      <alignment horizontal="center" vertical="center" wrapText="1"/>
      <protection locked="0"/>
    </xf>
    <xf numFmtId="2" fontId="36" fillId="5" borderId="10" xfId="4" applyNumberFormat="1" applyFont="1" applyFill="1" applyBorder="1" applyAlignment="1" applyProtection="1">
      <alignment vertical="center"/>
      <protection locked="0"/>
    </xf>
    <xf numFmtId="2" fontId="36" fillId="5" borderId="10" xfId="4" applyNumberFormat="1" applyFont="1" applyFill="1" applyBorder="1" applyAlignment="1" applyProtection="1">
      <alignment vertical="center"/>
    </xf>
    <xf numFmtId="2" fontId="36" fillId="5" borderId="2" xfId="4" applyNumberFormat="1" applyFont="1" applyFill="1" applyBorder="1" applyAlignment="1" applyProtection="1">
      <alignment vertical="center"/>
    </xf>
    <xf numFmtId="4" fontId="54" fillId="5" borderId="35" xfId="4" applyNumberFormat="1" applyFont="1" applyFill="1" applyBorder="1" applyAlignment="1" applyProtection="1">
      <alignment horizontal="right" vertical="center"/>
      <protection locked="0"/>
    </xf>
    <xf numFmtId="164" fontId="40" fillId="5" borderId="35" xfId="4" applyNumberFormat="1" applyFont="1" applyFill="1" applyBorder="1" applyAlignment="1" applyProtection="1">
      <alignment horizontal="center" vertical="center" wrapText="1"/>
    </xf>
    <xf numFmtId="4" fontId="36" fillId="0" borderId="3" xfId="4" applyNumberFormat="1" applyFont="1" applyBorder="1" applyAlignment="1" applyProtection="1">
      <alignment vertical="center"/>
    </xf>
    <xf numFmtId="4" fontId="36" fillId="0" borderId="10" xfId="4" applyNumberFormat="1" applyFont="1" applyBorder="1" applyAlignment="1" applyProtection="1">
      <alignment vertical="center"/>
    </xf>
    <xf numFmtId="0" fontId="52" fillId="6" borderId="9" xfId="4" applyFont="1" applyFill="1" applyBorder="1" applyAlignment="1" applyProtection="1">
      <alignment horizontal="center" vertical="center" wrapText="1"/>
      <protection locked="0"/>
    </xf>
    <xf numFmtId="0" fontId="52" fillId="6" borderId="9" xfId="4" applyNumberFormat="1" applyFont="1" applyFill="1" applyBorder="1" applyAlignment="1" applyProtection="1">
      <alignment horizontal="left" vertical="center" wrapText="1"/>
      <protection locked="0"/>
    </xf>
    <xf numFmtId="0" fontId="36" fillId="6" borderId="9" xfId="4" applyFont="1" applyFill="1" applyBorder="1" applyAlignment="1" applyProtection="1">
      <alignment horizontal="center" vertical="center" wrapText="1"/>
      <protection locked="0"/>
    </xf>
    <xf numFmtId="167" fontId="40" fillId="0" borderId="19" xfId="4" applyNumberFormat="1" applyFont="1" applyBorder="1" applyAlignment="1" applyProtection="1">
      <alignment horizontal="center" vertical="center"/>
    </xf>
    <xf numFmtId="49" fontId="40" fillId="5" borderId="8" xfId="4" applyNumberFormat="1" applyFont="1" applyFill="1" applyBorder="1" applyAlignment="1" applyProtection="1">
      <alignment horizontal="center" vertical="center" wrapText="1"/>
      <protection locked="0"/>
    </xf>
    <xf numFmtId="0" fontId="36" fillId="7" borderId="9" xfId="4" applyFont="1" applyFill="1" applyBorder="1" applyAlignment="1" applyProtection="1">
      <alignment horizontal="center" vertical="center" wrapText="1"/>
      <protection locked="0"/>
    </xf>
    <xf numFmtId="4" fontId="36" fillId="0" borderId="8" xfId="4" applyNumberFormat="1" applyFont="1" applyBorder="1" applyAlignment="1" applyProtection="1">
      <alignment vertical="center"/>
    </xf>
    <xf numFmtId="167" fontId="40" fillId="0" borderId="0" xfId="4" applyNumberFormat="1" applyFont="1" applyBorder="1" applyAlignment="1" applyProtection="1">
      <alignment horizontal="center" vertical="center"/>
    </xf>
    <xf numFmtId="0" fontId="39" fillId="0" borderId="6" xfId="4" applyFont="1" applyBorder="1" applyAlignment="1" applyProtection="1">
      <alignment horizontal="center" vertical="center" wrapText="1"/>
      <protection locked="0"/>
    </xf>
    <xf numFmtId="0" fontId="39" fillId="0" borderId="7" xfId="4" applyFont="1" applyBorder="1" applyAlignment="1" applyProtection="1">
      <alignment horizontal="center" vertical="center" wrapText="1"/>
      <protection locked="0"/>
    </xf>
    <xf numFmtId="165" fontId="39" fillId="0" borderId="7" xfId="4" applyNumberFormat="1" applyFont="1" applyBorder="1" applyAlignment="1" applyProtection="1">
      <alignment horizontal="center" vertical="center" wrapText="1"/>
      <protection locked="0"/>
    </xf>
    <xf numFmtId="164" fontId="39" fillId="0" borderId="7" xfId="4" applyNumberFormat="1" applyFont="1" applyBorder="1" applyAlignment="1" applyProtection="1">
      <alignment horizontal="center" vertical="center" wrapText="1"/>
      <protection locked="0"/>
    </xf>
    <xf numFmtId="0" fontId="39" fillId="0" borderId="5" xfId="4" applyFont="1" applyBorder="1" applyAlignment="1" applyProtection="1">
      <alignment horizontal="center" vertical="center" wrapText="1"/>
      <protection locked="0"/>
    </xf>
    <xf numFmtId="0" fontId="40" fillId="6" borderId="8" xfId="4" applyFont="1" applyFill="1" applyBorder="1" applyAlignment="1" applyProtection="1">
      <alignment horizontal="center" vertical="center" wrapText="1"/>
    </xf>
    <xf numFmtId="0" fontId="36" fillId="6" borderId="9" xfId="4" applyFont="1" applyFill="1" applyBorder="1" applyAlignment="1" applyProtection="1">
      <alignment horizontal="left" vertical="center" wrapText="1"/>
      <protection locked="0"/>
    </xf>
    <xf numFmtId="2" fontId="36" fillId="0" borderId="9" xfId="4" applyNumberFormat="1" applyFont="1" applyBorder="1" applyAlignment="1" applyProtection="1">
      <alignment horizontal="center" vertical="center" wrapText="1"/>
    </xf>
    <xf numFmtId="169" fontId="36" fillId="5" borderId="9" xfId="4" applyNumberFormat="1" applyFont="1" applyFill="1" applyBorder="1" applyAlignment="1" applyProtection="1">
      <alignment horizontal="right" vertical="center" wrapText="1"/>
      <protection locked="0"/>
    </xf>
    <xf numFmtId="0" fontId="36" fillId="5" borderId="4" xfId="4" applyFont="1" applyFill="1" applyBorder="1" applyAlignment="1" applyProtection="1">
      <alignment horizontal="center" vertical="center" wrapText="1"/>
      <protection locked="0"/>
    </xf>
    <xf numFmtId="0" fontId="40" fillId="6" borderId="19" xfId="4" applyNumberFormat="1" applyFont="1" applyFill="1" applyBorder="1" applyAlignment="1" applyProtection="1">
      <alignment horizontal="center" vertical="center" wrapText="1"/>
    </xf>
    <xf numFmtId="0" fontId="36" fillId="7" borderId="4" xfId="4" applyFont="1" applyFill="1" applyBorder="1" applyAlignment="1" applyProtection="1">
      <alignment horizontal="center" vertical="center" wrapText="1"/>
      <protection locked="0"/>
    </xf>
    <xf numFmtId="0" fontId="36" fillId="7" borderId="19" xfId="4" applyFont="1" applyFill="1" applyBorder="1" applyAlignment="1" applyProtection="1">
      <alignment horizontal="center" vertical="center" wrapText="1"/>
      <protection locked="0"/>
    </xf>
    <xf numFmtId="2" fontId="36" fillId="0" borderId="8" xfId="4" applyNumberFormat="1" applyFont="1" applyBorder="1" applyAlignment="1" applyProtection="1">
      <alignment horizontal="center" vertical="center" wrapText="1"/>
    </xf>
    <xf numFmtId="2" fontId="36" fillId="0" borderId="4" xfId="4" applyNumberFormat="1" applyFont="1" applyBorder="1" applyAlignment="1" applyProtection="1">
      <alignment horizontal="center" vertical="center" wrapText="1"/>
    </xf>
    <xf numFmtId="169" fontId="36" fillId="5" borderId="4" xfId="4" applyNumberFormat="1" applyFont="1" applyFill="1" applyBorder="1" applyAlignment="1" applyProtection="1">
      <alignment horizontal="right" vertical="center" wrapText="1"/>
      <protection locked="0"/>
    </xf>
    <xf numFmtId="0" fontId="36" fillId="5" borderId="19" xfId="4" applyFont="1" applyFill="1" applyBorder="1" applyAlignment="1" applyProtection="1">
      <alignment horizontal="center" vertical="center" wrapText="1"/>
      <protection locked="0"/>
    </xf>
    <xf numFmtId="14" fontId="36" fillId="0" borderId="0" xfId="4" applyNumberFormat="1" applyFont="1" applyProtection="1">
      <protection locked="0"/>
    </xf>
    <xf numFmtId="0" fontId="36" fillId="0" borderId="0" xfId="4" applyFont="1" applyAlignment="1" applyProtection="1">
      <alignment horizontal="center" vertical="center"/>
      <protection locked="0"/>
    </xf>
    <xf numFmtId="0" fontId="36" fillId="0" borderId="0" xfId="4" applyFont="1" applyBorder="1" applyProtection="1">
      <protection locked="0"/>
    </xf>
    <xf numFmtId="49" fontId="21" fillId="6" borderId="39" xfId="4" applyNumberFormat="1" applyFont="1" applyFill="1" applyBorder="1" applyAlignment="1" applyProtection="1">
      <alignment horizontal="center" vertical="center" wrapText="1"/>
    </xf>
    <xf numFmtId="4" fontId="36" fillId="0" borderId="38" xfId="4" applyNumberFormat="1" applyFont="1" applyBorder="1" applyAlignment="1" applyProtection="1">
      <alignment horizontal="right" vertical="center"/>
    </xf>
    <xf numFmtId="0" fontId="21" fillId="0" borderId="0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2" fillId="3" borderId="0" xfId="0" applyNumberFormat="1" applyFont="1" applyFill="1" applyBorder="1" applyAlignment="1" applyProtection="1">
      <alignment horizontal="center" vertical="center" wrapText="1"/>
    </xf>
    <xf numFmtId="0" fontId="22" fillId="3" borderId="0" xfId="0" applyNumberFormat="1" applyFont="1" applyFill="1" applyBorder="1" applyAlignment="1" applyProtection="1">
      <alignment horizontal="left" vertical="center" wrapText="1"/>
    </xf>
    <xf numFmtId="0" fontId="20" fillId="0" borderId="0" xfId="0" applyNumberFormat="1" applyFont="1" applyFill="1" applyBorder="1" applyAlignment="1" applyProtection="1">
      <alignment horizontal="center" vertical="center" wrapText="1"/>
      <protection locked="0"/>
    </xf>
    <xf numFmtId="4" fontId="21" fillId="0" borderId="0" xfId="0" applyNumberFormat="1" applyFont="1" applyFill="1" applyBorder="1" applyAlignment="1" applyProtection="1">
      <alignment horizontal="right" vertical="center"/>
    </xf>
    <xf numFmtId="167" fontId="21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protection locked="0"/>
    </xf>
    <xf numFmtId="2" fontId="21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/>
    <xf numFmtId="4" fontId="20" fillId="0" borderId="0" xfId="0" applyNumberFormat="1" applyFont="1" applyFill="1" applyBorder="1" applyAlignment="1" applyProtection="1"/>
    <xf numFmtId="0" fontId="20" fillId="0" borderId="0" xfId="0" applyFont="1" applyAlignment="1">
      <alignment vertical="center"/>
    </xf>
    <xf numFmtId="4" fontId="54" fillId="5" borderId="21" xfId="4" applyNumberFormat="1" applyFont="1" applyFill="1" applyBorder="1" applyAlignment="1" applyProtection="1">
      <alignment horizontal="right" vertical="center"/>
      <protection locked="0"/>
    </xf>
    <xf numFmtId="0" fontId="51" fillId="0" borderId="38" xfId="0" applyNumberFormat="1" applyFont="1" applyFill="1" applyBorder="1" applyAlignment="1" applyProtection="1">
      <alignment horizontal="center" vertical="top" wrapText="1"/>
      <protection locked="0"/>
    </xf>
    <xf numFmtId="4" fontId="36" fillId="0" borderId="21" xfId="4" applyNumberFormat="1" applyFont="1" applyBorder="1" applyAlignment="1" applyProtection="1">
      <alignment horizontal="right" vertical="center"/>
    </xf>
    <xf numFmtId="0" fontId="51" fillId="0" borderId="39" xfId="0" applyNumberFormat="1" applyFont="1" applyFill="1" applyBorder="1" applyAlignment="1" applyProtection="1">
      <alignment horizontal="center" vertical="top" wrapText="1"/>
      <protection locked="0"/>
    </xf>
    <xf numFmtId="0" fontId="51" fillId="0" borderId="8" xfId="0" applyNumberFormat="1" applyFont="1" applyFill="1" applyBorder="1" applyAlignment="1" applyProtection="1">
      <alignment horizontal="center" vertical="top" wrapText="1"/>
      <protection locked="0"/>
    </xf>
    <xf numFmtId="4" fontId="36" fillId="0" borderId="14" xfId="4" applyNumberFormat="1" applyFont="1" applyBorder="1" applyAlignment="1" applyProtection="1">
      <alignment horizontal="right" vertical="center"/>
    </xf>
    <xf numFmtId="4" fontId="53" fillId="5" borderId="3" xfId="4" applyNumberFormat="1" applyFont="1" applyFill="1" applyBorder="1" applyAlignment="1" applyProtection="1">
      <alignment horizontal="center" vertical="center"/>
    </xf>
    <xf numFmtId="0" fontId="51" fillId="0" borderId="4" xfId="0" applyNumberFormat="1" applyFont="1" applyFill="1" applyBorder="1" applyAlignment="1" applyProtection="1">
      <alignment horizontal="center" vertical="top" wrapText="1"/>
      <protection locked="0"/>
    </xf>
    <xf numFmtId="4" fontId="36" fillId="0" borderId="15" xfId="4" applyNumberFormat="1" applyFont="1" applyBorder="1" applyAlignment="1" applyProtection="1">
      <alignment horizontal="right" vertical="center"/>
    </xf>
    <xf numFmtId="4" fontId="54" fillId="5" borderId="15" xfId="4" applyNumberFormat="1" applyFont="1" applyFill="1" applyBorder="1" applyAlignment="1" applyProtection="1">
      <alignment horizontal="right" vertical="center"/>
      <protection locked="0"/>
    </xf>
    <xf numFmtId="164" fontId="40" fillId="5" borderId="15" xfId="4" applyNumberFormat="1" applyFont="1" applyFill="1" applyBorder="1" applyAlignment="1" applyProtection="1">
      <alignment horizontal="center" vertical="center" wrapText="1"/>
    </xf>
    <xf numFmtId="49" fontId="40" fillId="6" borderId="0" xfId="4" applyNumberFormat="1" applyFont="1" applyFill="1" applyBorder="1" applyAlignment="1" applyProtection="1">
      <alignment horizontal="center" vertical="center"/>
      <protection locked="0"/>
    </xf>
    <xf numFmtId="0" fontId="40" fillId="6" borderId="0" xfId="4" applyFont="1" applyFill="1" applyBorder="1" applyAlignment="1" applyProtection="1">
      <alignment horizontal="center" vertical="center" wrapText="1"/>
      <protection locked="0"/>
    </xf>
    <xf numFmtId="0" fontId="52" fillId="6" borderId="0" xfId="4" applyFont="1" applyFill="1" applyBorder="1" applyAlignment="1" applyProtection="1">
      <alignment horizontal="center" vertical="center" wrapText="1"/>
      <protection locked="0"/>
    </xf>
    <xf numFmtId="0" fontId="52" fillId="6" borderId="0" xfId="4" applyNumberFormat="1" applyFont="1" applyFill="1" applyBorder="1" applyAlignment="1" applyProtection="1">
      <alignment horizontal="left" vertical="center" wrapText="1"/>
      <protection locked="0"/>
    </xf>
    <xf numFmtId="0" fontId="36" fillId="6" borderId="0" xfId="4" applyFont="1" applyFill="1" applyBorder="1" applyAlignment="1" applyProtection="1">
      <alignment horizontal="center" vertical="center" wrapText="1"/>
      <protection locked="0"/>
    </xf>
    <xf numFmtId="0" fontId="36" fillId="6" borderId="0" xfId="4" applyFont="1" applyFill="1" applyBorder="1" applyAlignment="1" applyProtection="1">
      <alignment horizontal="center" vertical="center" wrapText="1"/>
    </xf>
    <xf numFmtId="49" fontId="40" fillId="5" borderId="0" xfId="4" applyNumberFormat="1" applyFont="1" applyFill="1" applyBorder="1" applyAlignment="1" applyProtection="1">
      <alignment horizontal="center" vertical="center" wrapText="1"/>
      <protection locked="0"/>
    </xf>
    <xf numFmtId="0" fontId="40" fillId="5" borderId="0" xfId="4" applyFont="1" applyFill="1" applyBorder="1" applyAlignment="1" applyProtection="1">
      <alignment horizontal="center" vertical="center"/>
      <protection locked="0"/>
    </xf>
    <xf numFmtId="0" fontId="36" fillId="7" borderId="0" xfId="4" applyFont="1" applyFill="1" applyBorder="1" applyAlignment="1" applyProtection="1">
      <alignment horizontal="center" vertical="center" wrapText="1"/>
      <protection locked="0"/>
    </xf>
    <xf numFmtId="2" fontId="36" fillId="5" borderId="0" xfId="4" applyNumberFormat="1" applyFont="1" applyFill="1" applyBorder="1" applyAlignment="1" applyProtection="1">
      <alignment vertical="center"/>
      <protection locked="0"/>
    </xf>
    <xf numFmtId="2" fontId="36" fillId="5" borderId="0" xfId="4" applyNumberFormat="1" applyFont="1" applyFill="1" applyBorder="1" applyAlignment="1" applyProtection="1">
      <alignment vertical="center"/>
    </xf>
    <xf numFmtId="4" fontId="53" fillId="5" borderId="0" xfId="4" applyNumberFormat="1" applyFont="1" applyFill="1" applyBorder="1" applyAlignment="1" applyProtection="1">
      <alignment horizontal="center" vertical="center"/>
    </xf>
    <xf numFmtId="4" fontId="36" fillId="0" borderId="0" xfId="4" applyNumberFormat="1" applyFont="1" applyBorder="1" applyAlignment="1" applyProtection="1">
      <alignment vertical="center"/>
    </xf>
    <xf numFmtId="4" fontId="53" fillId="5" borderId="14" xfId="4" applyNumberFormat="1" applyFont="1" applyFill="1" applyBorder="1" applyAlignment="1" applyProtection="1">
      <alignment horizontal="center" vertical="center"/>
    </xf>
    <xf numFmtId="49" fontId="21" fillId="6" borderId="15" xfId="4" applyNumberFormat="1" applyFont="1" applyFill="1" applyBorder="1" applyAlignment="1" applyProtection="1">
      <alignment horizontal="center" vertical="center" wrapText="1"/>
    </xf>
    <xf numFmtId="4" fontId="21" fillId="0" borderId="40" xfId="0" applyNumberFormat="1" applyFont="1" applyFill="1" applyBorder="1" applyAlignment="1" applyProtection="1">
      <alignment horizontal="right" vertical="center"/>
    </xf>
    <xf numFmtId="0" fontId="20" fillId="0" borderId="19" xfId="0" applyNumberFormat="1" applyFont="1" applyFill="1" applyBorder="1" applyAlignment="1" applyProtection="1">
      <protection locked="0"/>
    </xf>
    <xf numFmtId="0" fontId="21" fillId="0" borderId="14" xfId="0" applyNumberFormat="1" applyFont="1" applyFill="1" applyBorder="1" applyAlignment="1" applyProtection="1">
      <alignment horizontal="right" vertical="top"/>
    </xf>
    <xf numFmtId="0" fontId="23" fillId="0" borderId="14" xfId="0" applyNumberFormat="1" applyFont="1" applyFill="1" applyBorder="1" applyAlignment="1" applyProtection="1">
      <alignment horizontal="center" vertical="center"/>
    </xf>
    <xf numFmtId="0" fontId="23" fillId="0" borderId="14" xfId="0" applyNumberFormat="1" applyFont="1" applyFill="1" applyBorder="1" applyAlignment="1" applyProtection="1">
      <alignment horizontal="center"/>
      <protection locked="0"/>
    </xf>
    <xf numFmtId="4" fontId="54" fillId="5" borderId="19" xfId="4" applyNumberFormat="1" applyFont="1" applyFill="1" applyBorder="1" applyAlignment="1" applyProtection="1">
      <alignment horizontal="right" vertical="center"/>
      <protection locked="0"/>
    </xf>
    <xf numFmtId="4" fontId="53" fillId="5" borderId="8" xfId="4" applyNumberFormat="1" applyFont="1" applyFill="1" applyBorder="1" applyAlignment="1" applyProtection="1">
      <alignment horizontal="center" vertical="center"/>
    </xf>
    <xf numFmtId="164" fontId="40" fillId="5" borderId="39" xfId="4" applyNumberFormat="1" applyFont="1" applyFill="1" applyBorder="1" applyAlignment="1" applyProtection="1">
      <alignment horizontal="center" vertical="center" wrapText="1"/>
    </xf>
    <xf numFmtId="4" fontId="36" fillId="0" borderId="39" xfId="4" applyNumberFormat="1" applyFont="1" applyBorder="1" applyAlignment="1" applyProtection="1">
      <alignment horizontal="right" vertical="center"/>
    </xf>
    <xf numFmtId="4" fontId="54" fillId="5" borderId="39" xfId="4" applyNumberFormat="1" applyFont="1" applyFill="1" applyBorder="1" applyAlignment="1" applyProtection="1">
      <alignment horizontal="right" vertical="center"/>
      <protection locked="0"/>
    </xf>
    <xf numFmtId="4" fontId="36" fillId="0" borderId="41" xfId="4" applyNumberFormat="1" applyFont="1" applyBorder="1" applyAlignment="1" applyProtection="1">
      <alignment horizontal="right" vertical="center"/>
    </xf>
    <xf numFmtId="4" fontId="36" fillId="0" borderId="42" xfId="4" applyNumberFormat="1" applyFont="1" applyBorder="1" applyAlignment="1" applyProtection="1">
      <alignment horizontal="right" vertical="center"/>
    </xf>
    <xf numFmtId="4" fontId="53" fillId="5" borderId="41" xfId="4" applyNumberFormat="1" applyFont="1" applyFill="1" applyBorder="1" applyAlignment="1" applyProtection="1">
      <alignment horizontal="center" vertical="center"/>
    </xf>
    <xf numFmtId="4" fontId="53" fillId="5" borderId="42" xfId="4" applyNumberFormat="1" applyFont="1" applyFill="1" applyBorder="1" applyAlignment="1" applyProtection="1">
      <alignment horizontal="center" vertical="center"/>
    </xf>
    <xf numFmtId="4" fontId="21" fillId="0" borderId="15" xfId="0" applyNumberFormat="1" applyFont="1" applyFill="1" applyBorder="1" applyAlignment="1" applyProtection="1">
      <alignment horizontal="right" vertical="center"/>
    </xf>
    <xf numFmtId="0" fontId="20" fillId="0" borderId="15" xfId="0" applyNumberFormat="1" applyFont="1" applyFill="1" applyBorder="1" applyAlignment="1" applyProtection="1">
      <protection locked="0"/>
    </xf>
    <xf numFmtId="0" fontId="21" fillId="2" borderId="15" xfId="0" applyNumberFormat="1" applyFont="1" applyFill="1" applyBorder="1" applyAlignment="1" applyProtection="1">
      <alignment horizontal="center" vertical="center" wrapText="1"/>
      <protection locked="0"/>
    </xf>
    <xf numFmtId="4" fontId="36" fillId="0" borderId="19" xfId="4" applyNumberFormat="1" applyFont="1" applyBorder="1" applyAlignment="1" applyProtection="1">
      <alignment horizontal="right" vertical="center"/>
    </xf>
    <xf numFmtId="49" fontId="0" fillId="0" borderId="0" xfId="0" applyNumberFormat="1"/>
    <xf numFmtId="49" fontId="10" fillId="0" borderId="43" xfId="0" applyNumberFormat="1" applyFont="1" applyFill="1" applyBorder="1" applyAlignment="1">
      <alignment horizontal="left" vertical="center" wrapText="1"/>
    </xf>
    <xf numFmtId="178" fontId="10" fillId="0" borderId="43" xfId="0" applyNumberFormat="1" applyFont="1" applyFill="1" applyBorder="1" applyAlignment="1">
      <alignment horizontal="left" vertical="center" wrapText="1"/>
    </xf>
    <xf numFmtId="0" fontId="10" fillId="0" borderId="43" xfId="0" applyFont="1" applyFill="1" applyBorder="1" applyAlignment="1">
      <alignment horizontal="center" vertical="center" wrapText="1"/>
    </xf>
    <xf numFmtId="179" fontId="10" fillId="0" borderId="43" xfId="0" applyNumberFormat="1" applyFont="1" applyFill="1" applyBorder="1" applyAlignment="1">
      <alignment horizontal="right" vertical="center" wrapText="1"/>
    </xf>
    <xf numFmtId="10" fontId="10" fillId="0" borderId="43" xfId="0" applyNumberFormat="1" applyFont="1" applyFill="1" applyBorder="1" applyAlignment="1">
      <alignment horizontal="right" vertical="center" wrapText="1"/>
    </xf>
    <xf numFmtId="49" fontId="55" fillId="0" borderId="43" xfId="0" applyNumberFormat="1" applyFont="1" applyFill="1" applyBorder="1" applyAlignment="1">
      <alignment horizontal="center" vertical="center" wrapText="1"/>
    </xf>
    <xf numFmtId="0" fontId="55" fillId="0" borderId="43" xfId="0" applyFont="1" applyFill="1" applyBorder="1" applyAlignment="1">
      <alignment horizontal="center" vertical="center" wrapText="1"/>
    </xf>
    <xf numFmtId="49" fontId="55" fillId="0" borderId="43" xfId="0" applyNumberFormat="1" applyFont="1" applyFill="1" applyBorder="1" applyAlignment="1">
      <alignment horizontal="left" vertical="center" wrapText="1"/>
    </xf>
    <xf numFmtId="179" fontId="55" fillId="0" borderId="43" xfId="0" applyNumberFormat="1" applyFont="1" applyFill="1" applyBorder="1" applyAlignment="1">
      <alignment horizontal="right" vertical="center" wrapText="1"/>
    </xf>
    <xf numFmtId="0" fontId="10" fillId="0" borderId="0" xfId="0" applyFont="1" applyFill="1" applyBorder="1" applyAlignment="1">
      <alignment horizontal="center" vertical="center" wrapText="1"/>
    </xf>
    <xf numFmtId="10" fontId="10" fillId="0" borderId="0" xfId="0" applyNumberFormat="1" applyFont="1" applyFill="1" applyBorder="1" applyAlignment="1">
      <alignment horizontal="right" vertical="center" wrapText="1"/>
    </xf>
    <xf numFmtId="0" fontId="15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49" fontId="14" fillId="4" borderId="20" xfId="0" applyNumberFormat="1" applyFont="1" applyFill="1" applyBorder="1" applyAlignment="1">
      <alignment horizontal="left" vertical="center"/>
    </xf>
    <xf numFmtId="0" fontId="14" fillId="0" borderId="0" xfId="0" applyFont="1" applyBorder="1" applyAlignment="1">
      <alignment horizontal="right" vertical="center"/>
    </xf>
    <xf numFmtId="0" fontId="14" fillId="6" borderId="20" xfId="0" applyFont="1" applyFill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10" fontId="14" fillId="6" borderId="20" xfId="0" applyNumberFormat="1" applyFont="1" applyFill="1" applyBorder="1" applyAlignment="1">
      <alignment horizontal="center" vertical="center"/>
    </xf>
    <xf numFmtId="10" fontId="14" fillId="6" borderId="21" xfId="0" applyNumberFormat="1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horizontal="center" vertical="center"/>
    </xf>
    <xf numFmtId="0" fontId="14" fillId="6" borderId="20" xfId="0" applyFont="1" applyFill="1" applyBorder="1" applyAlignment="1">
      <alignment horizontal="center" vertical="center"/>
    </xf>
    <xf numFmtId="171" fontId="14" fillId="6" borderId="20" xfId="0" applyNumberFormat="1" applyFont="1" applyFill="1" applyBorder="1" applyAlignment="1">
      <alignment horizontal="center" vertical="center"/>
    </xf>
    <xf numFmtId="10" fontId="14" fillId="6" borderId="20" xfId="10" applyNumberFormat="1" applyFont="1" applyFill="1" applyBorder="1" applyAlignment="1">
      <alignment horizontal="center" vertical="center"/>
    </xf>
    <xf numFmtId="0" fontId="14" fillId="6" borderId="21" xfId="0" applyFont="1" applyFill="1" applyBorder="1" applyAlignment="1">
      <alignment vertical="center"/>
    </xf>
    <xf numFmtId="0" fontId="14" fillId="6" borderId="20" xfId="0" applyFont="1" applyFill="1" applyBorder="1" applyAlignment="1">
      <alignment vertical="center"/>
    </xf>
    <xf numFmtId="174" fontId="14" fillId="6" borderId="20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/>
    </xf>
    <xf numFmtId="170" fontId="14" fillId="6" borderId="20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25" fillId="6" borderId="20" xfId="0" applyFont="1" applyFill="1" applyBorder="1" applyAlignment="1">
      <alignment horizontal="center" vertical="center"/>
    </xf>
    <xf numFmtId="14" fontId="25" fillId="6" borderId="2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4" fillId="0" borderId="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14" fillId="0" borderId="0" xfId="0" applyNumberFormat="1" applyFont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4" fillId="6" borderId="20" xfId="0" applyFont="1" applyFill="1" applyBorder="1" applyAlignment="1">
      <alignment horizontal="left" vertical="center" wrapText="1"/>
    </xf>
    <xf numFmtId="0" fontId="24" fillId="6" borderId="21" xfId="0" applyFont="1" applyFill="1" applyBorder="1" applyAlignment="1">
      <alignment horizontal="left" vertical="center"/>
    </xf>
    <xf numFmtId="0" fontId="24" fillId="6" borderId="3" xfId="0" applyFont="1" applyFill="1" applyBorder="1" applyAlignment="1">
      <alignment horizontal="left" vertical="center"/>
    </xf>
    <xf numFmtId="177" fontId="14" fillId="0" borderId="0" xfId="0" applyNumberFormat="1" applyFont="1" applyFill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0" fontId="14" fillId="4" borderId="20" xfId="0" applyFont="1" applyFill="1" applyBorder="1" applyAlignment="1">
      <alignment horizontal="left" vertical="center"/>
    </xf>
    <xf numFmtId="0" fontId="14" fillId="4" borderId="20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173" fontId="14" fillId="4" borderId="20" xfId="0" applyNumberFormat="1" applyFont="1" applyFill="1" applyBorder="1" applyAlignment="1">
      <alignment horizontal="left" vertical="center"/>
    </xf>
    <xf numFmtId="173" fontId="14" fillId="4" borderId="21" xfId="0" applyNumberFormat="1" applyFont="1" applyFill="1" applyBorder="1" applyAlignment="1">
      <alignment horizontal="left" vertical="center"/>
    </xf>
    <xf numFmtId="0" fontId="15" fillId="0" borderId="23" xfId="0" applyFont="1" applyBorder="1" applyAlignment="1">
      <alignment horizontal="left" vertic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wrapText="1"/>
    </xf>
    <xf numFmtId="0" fontId="14" fillId="0" borderId="2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2" fontId="14" fillId="6" borderId="0" xfId="0" applyNumberFormat="1" applyFont="1" applyFill="1" applyAlignment="1">
      <alignment horizontal="left" vertical="center"/>
    </xf>
    <xf numFmtId="0" fontId="14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6" fillId="0" borderId="0" xfId="0" applyNumberFormat="1" applyFont="1" applyBorder="1" applyAlignment="1">
      <alignment horizontal="center" vertical="center"/>
    </xf>
    <xf numFmtId="0" fontId="16" fillId="0" borderId="19" xfId="0" applyNumberFormat="1" applyFont="1" applyBorder="1" applyAlignment="1">
      <alignment horizontal="center" vertical="center"/>
    </xf>
    <xf numFmtId="164" fontId="48" fillId="0" borderId="1" xfId="4" applyNumberFormat="1" applyFont="1" applyBorder="1" applyAlignment="1" applyProtection="1">
      <alignment horizontal="center" vertical="center"/>
      <protection locked="0"/>
    </xf>
    <xf numFmtId="164" fontId="48" fillId="0" borderId="2" xfId="4" applyNumberFormat="1" applyFont="1" applyBorder="1" applyAlignment="1" applyProtection="1">
      <alignment horizontal="center" vertical="center"/>
      <protection locked="0"/>
    </xf>
    <xf numFmtId="0" fontId="39" fillId="0" borderId="10" xfId="4" applyFont="1" applyBorder="1" applyAlignment="1" applyProtection="1">
      <alignment horizontal="right" vertical="center"/>
      <protection locked="0"/>
    </xf>
    <xf numFmtId="14" fontId="39" fillId="0" borderId="1" xfId="4" applyNumberFormat="1" applyFont="1" applyBorder="1" applyAlignment="1" applyProtection="1">
      <alignment horizontal="center" vertical="center" wrapText="1"/>
      <protection locked="0"/>
    </xf>
    <xf numFmtId="14" fontId="39" fillId="0" borderId="3" xfId="4" applyNumberFormat="1" applyFont="1" applyBorder="1" applyAlignment="1" applyProtection="1">
      <alignment horizontal="center" vertical="center" wrapText="1"/>
      <protection locked="0"/>
    </xf>
    <xf numFmtId="0" fontId="39" fillId="0" borderId="1" xfId="4" applyFont="1" applyBorder="1" applyAlignment="1" applyProtection="1">
      <alignment horizontal="center" vertical="center"/>
      <protection locked="0"/>
    </xf>
    <xf numFmtId="0" fontId="39" fillId="0" borderId="0" xfId="4" applyFont="1" applyAlignment="1" applyProtection="1">
      <alignment horizontal="center" vertical="center"/>
      <protection locked="0"/>
    </xf>
    <xf numFmtId="164" fontId="39" fillId="0" borderId="1" xfId="4" applyNumberFormat="1" applyFont="1" applyBorder="1" applyAlignment="1" applyProtection="1">
      <alignment horizontal="center" vertical="center"/>
      <protection locked="0"/>
    </xf>
    <xf numFmtId="175" fontId="39" fillId="0" borderId="1" xfId="4" applyNumberFormat="1" applyFont="1" applyBorder="1" applyAlignment="1" applyProtection="1">
      <alignment horizontal="center" vertical="center"/>
      <protection locked="0"/>
    </xf>
    <xf numFmtId="0" fontId="39" fillId="0" borderId="1" xfId="4" applyFont="1" applyBorder="1" applyAlignment="1" applyProtection="1">
      <alignment horizontal="center" vertical="center" wrapText="1"/>
      <protection locked="0"/>
    </xf>
    <xf numFmtId="0" fontId="39" fillId="0" borderId="2" xfId="4" applyFont="1" applyBorder="1" applyAlignment="1" applyProtection="1">
      <alignment horizontal="center" vertical="center" wrapText="1"/>
      <protection locked="0"/>
    </xf>
    <xf numFmtId="164" fontId="47" fillId="0" borderId="1" xfId="4" applyNumberFormat="1" applyFont="1" applyBorder="1" applyAlignment="1" applyProtection="1">
      <alignment horizontal="center" vertical="center" wrapText="1"/>
    </xf>
    <xf numFmtId="164" fontId="47" fillId="0" borderId="9" xfId="4" applyNumberFormat="1" applyFont="1" applyBorder="1" applyAlignment="1" applyProtection="1">
      <alignment horizontal="center" vertical="center" wrapText="1"/>
    </xf>
    <xf numFmtId="10" fontId="39" fillId="0" borderId="1" xfId="4" applyNumberFormat="1" applyFont="1" applyBorder="1" applyAlignment="1" applyProtection="1">
      <alignment horizontal="center" vertical="center"/>
      <protection locked="0"/>
    </xf>
    <xf numFmtId="10" fontId="39" fillId="0" borderId="21" xfId="4" applyNumberFormat="1" applyFont="1" applyBorder="1" applyAlignment="1" applyProtection="1">
      <alignment horizontal="center" vertical="center"/>
      <protection locked="0"/>
    </xf>
    <xf numFmtId="164" fontId="39" fillId="0" borderId="1" xfId="4" applyNumberFormat="1" applyFont="1" applyFill="1" applyBorder="1" applyAlignment="1" applyProtection="1">
      <alignment horizontal="center" vertical="center"/>
      <protection hidden="1"/>
    </xf>
    <xf numFmtId="164" fontId="39" fillId="0" borderId="4" xfId="4" applyNumberFormat="1" applyFont="1" applyBorder="1" applyAlignment="1" applyProtection="1">
      <alignment horizontal="center" vertical="center"/>
    </xf>
    <xf numFmtId="164" fontId="39" fillId="0" borderId="19" xfId="4" applyNumberFormat="1" applyFont="1" applyBorder="1" applyAlignment="1" applyProtection="1">
      <alignment horizontal="center" vertical="center"/>
    </xf>
    <xf numFmtId="164" fontId="39" fillId="0" borderId="8" xfId="4" applyNumberFormat="1" applyFont="1" applyBorder="1" applyAlignment="1" applyProtection="1">
      <alignment horizontal="center" vertical="center"/>
    </xf>
    <xf numFmtId="164" fontId="39" fillId="0" borderId="31" xfId="4" applyNumberFormat="1" applyFont="1" applyBorder="1" applyAlignment="1" applyProtection="1">
      <alignment horizontal="center" vertical="center"/>
    </xf>
    <xf numFmtId="164" fontId="39" fillId="0" borderId="0" xfId="4" applyNumberFormat="1" applyFont="1" applyBorder="1" applyAlignment="1" applyProtection="1">
      <alignment horizontal="center" vertical="center"/>
    </xf>
    <xf numFmtId="164" fontId="39" fillId="0" borderId="30" xfId="4" applyNumberFormat="1" applyFont="1" applyBorder="1" applyAlignment="1" applyProtection="1">
      <alignment horizontal="center" vertical="center"/>
    </xf>
    <xf numFmtId="0" fontId="47" fillId="0" borderId="1" xfId="4" applyFont="1" applyBorder="1" applyAlignment="1" applyProtection="1">
      <alignment horizontal="center" vertical="center"/>
      <protection locked="0"/>
    </xf>
    <xf numFmtId="164" fontId="39" fillId="0" borderId="32" xfId="4" applyNumberFormat="1" applyFont="1" applyBorder="1" applyAlignment="1" applyProtection="1">
      <alignment horizontal="center" vertical="center" wrapText="1"/>
      <protection locked="0"/>
    </xf>
    <xf numFmtId="164" fontId="39" fillId="0" borderId="34" xfId="4" applyNumberFormat="1" applyFont="1" applyBorder="1" applyAlignment="1" applyProtection="1">
      <alignment horizontal="center" vertical="center" wrapText="1"/>
      <protection locked="0"/>
    </xf>
    <xf numFmtId="0" fontId="47" fillId="0" borderId="37" xfId="4" applyFont="1" applyBorder="1" applyAlignment="1" applyProtection="1">
      <alignment horizontal="center" vertical="center"/>
      <protection locked="0"/>
    </xf>
    <xf numFmtId="0" fontId="47" fillId="0" borderId="2" xfId="4" applyFont="1" applyBorder="1" applyAlignment="1" applyProtection="1">
      <alignment horizontal="center" vertical="center"/>
      <protection locked="0"/>
    </xf>
    <xf numFmtId="0" fontId="47" fillId="0" borderId="36" xfId="4" applyFont="1" applyBorder="1" applyAlignment="1" applyProtection="1">
      <alignment horizontal="center" vertical="center"/>
      <protection locked="0"/>
    </xf>
    <xf numFmtId="0" fontId="47" fillId="0" borderId="10" xfId="4" applyFont="1" applyBorder="1" applyAlignment="1" applyProtection="1">
      <alignment horizontal="center" vertical="center"/>
      <protection locked="0"/>
    </xf>
    <xf numFmtId="0" fontId="47" fillId="0" borderId="3" xfId="4" applyFont="1" applyBorder="1" applyAlignment="1" applyProtection="1">
      <alignment horizontal="center" vertical="center"/>
      <protection locked="0"/>
    </xf>
    <xf numFmtId="164" fontId="39" fillId="2" borderId="33" xfId="4" applyNumberFormat="1" applyFont="1" applyFill="1" applyBorder="1" applyAlignment="1" applyProtection="1">
      <alignment horizontal="center" vertical="center" wrapText="1"/>
      <protection locked="0"/>
    </xf>
    <xf numFmtId="164" fontId="39" fillId="2" borderId="35" xfId="4" applyNumberFormat="1" applyFont="1" applyFill="1" applyBorder="1" applyAlignment="1" applyProtection="1">
      <alignment horizontal="center" vertical="center" wrapText="1"/>
      <protection locked="0"/>
    </xf>
    <xf numFmtId="0" fontId="47" fillId="0" borderId="9" xfId="4" applyFont="1" applyBorder="1" applyAlignment="1" applyProtection="1">
      <alignment horizontal="center" vertical="center"/>
      <protection locked="0"/>
    </xf>
    <xf numFmtId="179" fontId="55" fillId="0" borderId="44" xfId="0" applyNumberFormat="1" applyFont="1" applyFill="1" applyBorder="1" applyAlignment="1">
      <alignment horizontal="right" vertical="center" wrapText="1"/>
    </xf>
    <xf numFmtId="179" fontId="55" fillId="0" borderId="45" xfId="0" applyNumberFormat="1" applyFont="1" applyFill="1" applyBorder="1" applyAlignment="1">
      <alignment horizontal="right" vertical="center" wrapText="1"/>
    </xf>
    <xf numFmtId="179" fontId="55" fillId="0" borderId="46" xfId="0" applyNumberFormat="1" applyFont="1" applyFill="1" applyBorder="1" applyAlignment="1">
      <alignment horizontal="right" vertical="center" wrapText="1"/>
    </xf>
    <xf numFmtId="179" fontId="10" fillId="0" borderId="47" xfId="0" applyNumberFormat="1" applyFont="1" applyFill="1" applyBorder="1" applyAlignment="1">
      <alignment horizontal="right" vertical="center" wrapText="1"/>
    </xf>
    <xf numFmtId="179" fontId="10" fillId="0" borderId="48" xfId="0" applyNumberFormat="1" applyFont="1" applyFill="1" applyBorder="1" applyAlignment="1">
      <alignment horizontal="right" vertical="center" wrapText="1"/>
    </xf>
    <xf numFmtId="179" fontId="10" fillId="0" borderId="49" xfId="0" applyNumberFormat="1" applyFont="1" applyFill="1" applyBorder="1" applyAlignment="1">
      <alignment horizontal="right" vertical="center" wrapText="1"/>
    </xf>
    <xf numFmtId="178" fontId="55" fillId="0" borderId="44" xfId="0" applyNumberFormat="1" applyFont="1" applyFill="1" applyBorder="1" applyAlignment="1">
      <alignment horizontal="left" vertical="center" wrapText="1"/>
    </xf>
    <xf numFmtId="178" fontId="10" fillId="0" borderId="45" xfId="0" applyNumberFormat="1" applyFont="1" applyFill="1" applyBorder="1" applyAlignment="1">
      <alignment horizontal="left" vertical="center" wrapText="1"/>
    </xf>
    <xf numFmtId="178" fontId="10" fillId="0" borderId="46" xfId="0" applyNumberFormat="1" applyFont="1" applyFill="1" applyBorder="1" applyAlignment="1">
      <alignment horizontal="left" vertical="center" wrapText="1"/>
    </xf>
    <xf numFmtId="178" fontId="55" fillId="0" borderId="43" xfId="0" applyNumberFormat="1" applyFont="1" applyFill="1" applyBorder="1" applyAlignment="1">
      <alignment horizontal="left" vertical="center" wrapText="1"/>
    </xf>
    <xf numFmtId="0" fontId="10" fillId="0" borderId="47" xfId="0" applyFont="1" applyFill="1" applyBorder="1" applyAlignment="1">
      <alignment horizontal="center" vertical="center" wrapText="1"/>
    </xf>
    <xf numFmtId="0" fontId="10" fillId="0" borderId="48" xfId="0" applyFont="1" applyFill="1" applyBorder="1" applyAlignment="1">
      <alignment horizontal="center" vertical="center" wrapText="1"/>
    </xf>
    <xf numFmtId="0" fontId="10" fillId="0" borderId="49" xfId="0" applyFont="1" applyFill="1" applyBorder="1" applyAlignment="1">
      <alignment horizontal="center" vertical="center" wrapText="1"/>
    </xf>
  </cellXfs>
  <cellStyles count="12">
    <cellStyle name="ColLevel_2" xfId="8"/>
    <cellStyle name="Excel Built-in Normal" xfId="2"/>
    <cellStyle name="Normal_Speca_template_final1" xfId="11"/>
    <cellStyle name="Денежный 2" xfId="5"/>
    <cellStyle name="Обычный" xfId="0" builtinId="0"/>
    <cellStyle name="Обычный 2" xfId="1"/>
    <cellStyle name="Обычный 3" xfId="3"/>
    <cellStyle name="Обычный 4" xfId="4"/>
    <cellStyle name="Обычный 5" xfId="7"/>
    <cellStyle name="Обычный 6" xfId="9"/>
    <cellStyle name="Процентный" xfId="10" builtinId="5"/>
    <cellStyle name="Процентный 2" xfId="6"/>
  </cellStyles>
  <dxfs count="99">
    <dxf>
      <fill>
        <patternFill>
          <bgColor rgb="FFF0F0FF"/>
        </patternFill>
      </fill>
    </dxf>
    <dxf>
      <fill>
        <patternFill>
          <bgColor rgb="FFF0FFF0"/>
        </patternFill>
      </fill>
    </dxf>
    <dxf>
      <fill>
        <patternFill>
          <bgColor rgb="FFF0F0FF"/>
        </patternFill>
      </fill>
    </dxf>
    <dxf>
      <fill>
        <patternFill>
          <bgColor rgb="FFF0FFF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69" formatCode="#,##0.00\ [$₽-419]_-;[Red]\-#,##0.00\ [$₽-419]_-;&quot;-&quot;??\ [$₽-419]_-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9" formatCode="#,##0.00\ [$₽-419]_-;[Red]\-#,##0.00\ [$₽-419]_-;&quot;-&quot;??\ [$₽-419]_-"/>
      <fill>
        <patternFill patternType="solid">
          <fgColor indexed="64"/>
          <bgColor rgb="FFFFF2E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sz val="10"/>
        <color theme="1"/>
        <name val="Century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64" formatCode="[$$-1009]#,##0.00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sz val="10"/>
        <color rgb="FF000000"/>
        <name val="Century Gothic"/>
        <family val="2"/>
        <charset val="204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/>
        <sz val="10"/>
        <color theme="5"/>
        <name val="Century Gothic"/>
        <family val="2"/>
        <charset val="204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sz val="10"/>
        <color rgb="FF000000"/>
        <name val="Century Gothic"/>
        <family val="2"/>
        <charset val="204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/>
        <sz val="10"/>
        <color theme="5"/>
        <name val="Century Gothic"/>
        <family val="2"/>
        <charset val="204"/>
        <scheme val="none"/>
      </font>
      <numFmt numFmtId="4" formatCode="#,##0.00"/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2" formatCode="0.00"/>
      <fill>
        <patternFill patternType="solid">
          <fgColor indexed="64"/>
          <bgColor rgb="FFFFF2E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fill>
        <patternFill patternType="solid">
          <fgColor indexed="64"/>
          <bgColor rgb="FFEDF7E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z val="10"/>
        <name val="Century Gothic"/>
        <family val="2"/>
        <charset val="204"/>
        <scheme val="none"/>
      </font>
      <fill>
        <patternFill patternType="solid">
          <fgColor indexed="64"/>
          <bgColor rgb="FFFFF2E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z val="10"/>
        <name val="Century Gothic"/>
        <family val="2"/>
        <charset val="204"/>
        <scheme val="none"/>
      </font>
      <numFmt numFmtId="30" formatCode="@"/>
      <fill>
        <patternFill patternType="solid">
          <fgColor indexed="64"/>
          <bgColor rgb="FFFFF2E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  <protection locked="1" hidden="0"/>
    </dxf>
    <dxf>
      <font>
        <sz val="10"/>
        <name val="Century Gothic"/>
        <family val="2"/>
        <charset val="204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sz val="10"/>
        <name val="Century Gothic"/>
        <family val="2"/>
        <charset val="204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67" formatCode="0.00%;[Red]\-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167" formatCode="0.00%;[Red]\-0.00%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1" hidden="0"/>
    </dxf>
    <dxf>
      <font>
        <sz val="10"/>
        <name val="Century Gothic"/>
        <family val="2"/>
        <charset val="204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sz val="10"/>
        <name val="Century Gothic"/>
        <family val="2"/>
        <charset val="204"/>
        <scheme val="none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z val="10"/>
        <name val="Century Gothic"/>
        <family val="2"/>
        <charset val="204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z val="10"/>
        <name val="Century Gothic"/>
        <family val="2"/>
        <charset val="204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family val="2"/>
        <charset val="204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  <color rgb="FF222222"/>
        <name val="Century Gothic"/>
        <family val="2"/>
        <charset val="204"/>
        <scheme val="none"/>
      </font>
      <numFmt numFmtId="0" formatCode="General"/>
      <fill>
        <patternFill patternType="solid">
          <fgColor indexed="64"/>
          <bgColor rgb="FFF1F5F9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Century Gothic"/>
        <family val="2"/>
        <charset val="204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  <color rgb="FF222222"/>
        <name val="Century Gothic"/>
        <family val="2"/>
        <charset val="204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z val="10"/>
        <name val="Century Gothic"/>
        <family val="2"/>
        <charset val="204"/>
        <scheme val="none"/>
      </font>
      <fill>
        <patternFill patternType="solid">
          <fgColor indexed="64"/>
          <bgColor rgb="FFF1F5F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charset val="20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z val="10"/>
        <name val="Century Gothic"/>
        <family val="2"/>
        <charset val="204"/>
        <scheme val="none"/>
      </font>
      <numFmt numFmtId="30" formatCode="@"/>
      <fill>
        <patternFill patternType="solid">
          <fgColor indexed="64"/>
          <bgColor rgb="FFF1F5F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name val="Century Gothic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name val="Century Gothic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theme="0" tint="-0.34998626667073579"/>
      </font>
    </dxf>
    <dxf>
      <numFmt numFmtId="180" formatCode="#,##0.00\ &quot;$&quot;_-;[Red]\-#,##0.00\ &quot;$&quot;_-;&quot;-&quot;??\ &quot;$&quot;_-"/>
    </dxf>
    <dxf>
      <numFmt numFmtId="181" formatCode="#,##0.00\ [$€-1]_-;[Red]\-#,##0.00\ [$€-1]_-;&quot;-&quot;??\ [$€-1]_-"/>
    </dxf>
    <dxf>
      <numFmt numFmtId="169" formatCode="#,##0.00\ [$₽-419]_-;[Red]\-#,##0.00\ [$₽-419]_-;&quot;-&quot;??\ [$₽-419]_-"/>
    </dxf>
    <dxf>
      <numFmt numFmtId="182" formatCode="&quot;&quot;"/>
    </dxf>
    <dxf>
      <numFmt numFmtId="180" formatCode="#,##0.00\ &quot;$&quot;_-;[Red]\-#,##0.00\ &quot;$&quot;_-;&quot;-&quot;??\ &quot;$&quot;_-"/>
    </dxf>
    <dxf>
      <numFmt numFmtId="181" formatCode="#,##0.00\ [$€-1]_-;[Red]\-#,##0.00\ [$€-1]_-;&quot;-&quot;??\ [$€-1]_-"/>
    </dxf>
    <dxf>
      <numFmt numFmtId="169" formatCode="#,##0.00\ [$₽-419]_-;[Red]\-#,##0.00\ [$₽-419]_-;&quot;-&quot;??\ [$₽-419]_-"/>
    </dxf>
    <dxf>
      <numFmt numFmtId="182" formatCode="&quot;&quot;"/>
    </dxf>
    <dxf>
      <numFmt numFmtId="180" formatCode="#,##0.00\ &quot;$&quot;_-;[Red]\-#,##0.00\ &quot;$&quot;_-;&quot;-&quot;??\ &quot;$&quot;_-"/>
    </dxf>
    <dxf>
      <numFmt numFmtId="181" formatCode="#,##0.00\ [$€-1]_-;[Red]\-#,##0.00\ [$€-1]_-;&quot;-&quot;??\ [$€-1]_-"/>
    </dxf>
    <dxf>
      <numFmt numFmtId="169" formatCode="#,##0.00\ [$₽-419]_-;[Red]\-#,##0.00\ [$₽-419]_-;&quot;-&quot;??\ [$₽-419]_-"/>
    </dxf>
    <dxf>
      <numFmt numFmtId="183" formatCode="#,##0.00\ [$₽-419];[Red]\-#,##0.00\ [$₽-419]"/>
    </dxf>
    <dxf>
      <numFmt numFmtId="184" formatCode="#,##0.00\ [$€-1]_ ;[Red]\-#,##0.00\ [$€-1]\ "/>
    </dxf>
    <dxf>
      <numFmt numFmtId="180" formatCode="#,##0.00\ &quot;$&quot;_-;[Red]\-#,##0.00\ &quot;$&quot;_-;&quot;-&quot;??\ &quot;$&quot;_-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1">
      <tableStyleElement type="wholeTable" dxfId="98"/>
    </tableStyle>
  </tableStyles>
  <colors>
    <mruColors>
      <color rgb="FFFFF2E5"/>
      <color rgb="FFF1F5F9"/>
      <color rgb="FFEDF7EF"/>
      <color rgb="FFCCFFCC"/>
      <color rgb="FFFF505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3" dropStyle="combo" dx="26" fmlaLink="#REF!" fmlaRange="НДС" noThreeD="1" sel="1" val="0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Drop" dropStyle="combo" dx="26" fmlaRange="валюта" noThreeD="1" sel="3" val="0"/>
</file>

<file path=xl/ctrlProps/ctrlProp21.xml><?xml version="1.0" encoding="utf-8"?>
<formControlPr xmlns="http://schemas.microsoft.com/office/spreadsheetml/2009/9/main" objectType="Radio" checked="Checked" firstButton="1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checked="Checked" firstButton="1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16</xdr:row>
      <xdr:rowOff>0</xdr:rowOff>
    </xdr:from>
    <xdr:to>
      <xdr:col>9</xdr:col>
      <xdr:colOff>470919</xdr:colOff>
      <xdr:row>23</xdr:row>
      <xdr:rowOff>158499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0" y="2933700"/>
          <a:ext cx="1438659" cy="14386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982980</xdr:colOff>
          <xdr:row>11</xdr:row>
          <xdr:rowOff>30480</xdr:rowOff>
        </xdr:from>
        <xdr:to>
          <xdr:col>2</xdr:col>
          <xdr:colOff>1630680</xdr:colOff>
          <xdr:row>13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Заменить кириллицу на латиницу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2156460</xdr:colOff>
          <xdr:row>11</xdr:row>
          <xdr:rowOff>38100</xdr:rowOff>
        </xdr:from>
        <xdr:to>
          <xdr:col>3</xdr:col>
          <xdr:colOff>3345180</xdr:colOff>
          <xdr:row>13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служебные символы и лишние пробелы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112</xdr:row>
          <xdr:rowOff>15240</xdr:rowOff>
        </xdr:from>
        <xdr:to>
          <xdr:col>1</xdr:col>
          <xdr:colOff>632460</xdr:colOff>
          <xdr:row>112</xdr:row>
          <xdr:rowOff>167640</xdr:rowOff>
        </xdr:to>
        <xdr:sp macro="" textlink="">
          <xdr:nvSpPr>
            <xdr:cNvPr id="2060" name="Кнопка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662940</xdr:colOff>
          <xdr:row>112</xdr:row>
          <xdr:rowOff>15240</xdr:rowOff>
        </xdr:from>
        <xdr:to>
          <xdr:col>1</xdr:col>
          <xdr:colOff>1219200</xdr:colOff>
          <xdr:row>112</xdr:row>
          <xdr:rowOff>167640</xdr:rowOff>
        </xdr:to>
        <xdr:sp macro="" textlink="">
          <xdr:nvSpPr>
            <xdr:cNvPr id="2063" name="Кнопка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12</xdr:row>
          <xdr:rowOff>304800</xdr:rowOff>
        </xdr:from>
        <xdr:to>
          <xdr:col>1</xdr:col>
          <xdr:colOff>624840</xdr:colOff>
          <xdr:row>13</xdr:row>
          <xdr:rowOff>121920</xdr:rowOff>
        </xdr:to>
        <xdr:sp macro="" textlink="">
          <xdr:nvSpPr>
            <xdr:cNvPr id="2822" name="Кнопка 12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00000000-0008-0000-0200-00000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+5 стр.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12</xdr:row>
          <xdr:rowOff>304800</xdr:rowOff>
        </xdr:from>
        <xdr:to>
          <xdr:col>1</xdr:col>
          <xdr:colOff>1226820</xdr:colOff>
          <xdr:row>13</xdr:row>
          <xdr:rowOff>121920</xdr:rowOff>
        </xdr:to>
        <xdr:sp macro="" textlink="">
          <xdr:nvSpPr>
            <xdr:cNvPr id="2823" name="Кнопка 12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00000000-0008-0000-0200-00000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+20 стр.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137160</xdr:colOff>
      <xdr:row>1</xdr:row>
      <xdr:rowOff>71120</xdr:rowOff>
    </xdr:from>
    <xdr:to>
      <xdr:col>4</xdr:col>
      <xdr:colOff>2656840</xdr:colOff>
      <xdr:row>17</xdr:row>
      <xdr:rowOff>116840</xdr:rowOff>
    </xdr:to>
    <xdr:sp macro="" textlink="">
      <xdr:nvSpPr>
        <xdr:cNvPr id="2" name="Доска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2000" y="254000"/>
          <a:ext cx="3937000" cy="2971800"/>
        </a:xfrm>
        <a:prstGeom prst="roundRect">
          <a:avLst>
            <a:gd name="adj" fmla="val 2000"/>
          </a:avLst>
        </a:prstGeom>
        <a:solidFill>
          <a:srgbClr val="FFFFFF"/>
        </a:solidFill>
        <a:ln w="38100" cmpd="thinThick">
          <a:solidFill>
            <a:srgbClr val="000000"/>
          </a:solidFill>
          <a:prstDash val="soli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236220</xdr:colOff>
          <xdr:row>1</xdr:row>
          <xdr:rowOff>175260</xdr:rowOff>
        </xdr:from>
        <xdr:to>
          <xdr:col>4</xdr:col>
          <xdr:colOff>342900</xdr:colOff>
          <xdr:row>14</xdr:row>
          <xdr:rowOff>38100</xdr:rowOff>
        </xdr:to>
        <xdr:grpSp>
          <xdr:nvGrpSpPr>
            <xdr:cNvPr id="6" name="Колонки таблицы КП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pSpPr/>
          </xdr:nvGrpSpPr>
          <xdr:grpSpPr>
            <a:xfrm>
              <a:off x="861060" y="358140"/>
              <a:ext cx="1524000" cy="2240280"/>
              <a:chOff x="787081" y="403876"/>
              <a:chExt cx="1728216" cy="2101145"/>
            </a:xfrm>
          </xdr:grpSpPr>
          <xdr:grpSp>
            <xdr:nvGrpSpPr>
              <xdr:cNvPr id="3" name="Колонки">
                <a:extLst>
                  <a:ext uri="{FF2B5EF4-FFF2-40B4-BE49-F238E27FC236}">
                    <a16:creationId xmlns:a16="http://schemas.microsoft.com/office/drawing/2014/main" id="{00000000-0008-0000-0300-000003000000}"/>
                  </a:ext>
                </a:extLst>
              </xdr:cNvPr>
              <xdr:cNvGrpSpPr/>
            </xdr:nvGrpSpPr>
            <xdr:grpSpPr>
              <a:xfrm>
                <a:off x="899415" y="546811"/>
                <a:ext cx="1494907" cy="1922477"/>
                <a:chOff x="847582" y="427188"/>
                <a:chExt cx="1543918" cy="2521674"/>
              </a:xfrm>
            </xdr:grpSpPr>
            <xdr:sp macro="" textlink="">
              <xdr:nvSpPr>
                <xdr:cNvPr id="4111" name="Срок доставки" descr="10" hidden="1">
                  <a:extLst>
                    <a:ext uri="{63B3BB69-23CF-44E3-9099-C40C66FF867C}">
                      <a14:compatExt spid="_x0000_s4111"/>
                    </a:ext>
                    <a:ext uri="{FF2B5EF4-FFF2-40B4-BE49-F238E27FC236}">
                      <a16:creationId xmlns:a16="http://schemas.microsoft.com/office/drawing/2014/main" id="{00000000-0008-0000-0300-00000F100000}"/>
                    </a:ext>
                  </a:extLst>
                </xdr:cNvPr>
                <xdr:cNvSpPr/>
              </xdr:nvSpPr>
              <xdr:spPr bwMode="auto">
                <a:xfrm>
                  <a:off x="847582" y="2677009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Срок доставки</a:t>
                  </a:r>
                </a:p>
              </xdr:txBody>
            </xdr:sp>
            <xdr:sp macro="" textlink="">
              <xdr:nvSpPr>
                <xdr:cNvPr id="4110" name="НДС" descr="9" hidden="1">
                  <a:extLst>
                    <a:ext uri="{63B3BB69-23CF-44E3-9099-C40C66FF867C}">
                      <a14:compatExt spid="_x0000_s4110"/>
                    </a:ext>
                    <a:ext uri="{FF2B5EF4-FFF2-40B4-BE49-F238E27FC236}">
                      <a16:creationId xmlns:a16="http://schemas.microsoft.com/office/drawing/2014/main" id="{00000000-0008-0000-0300-00000E100000}"/>
                    </a:ext>
                  </a:extLst>
                </xdr:cNvPr>
                <xdr:cNvSpPr/>
              </xdr:nvSpPr>
              <xdr:spPr bwMode="auto">
                <a:xfrm>
                  <a:off x="847582" y="2423903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НДС</a:t>
                  </a:r>
                </a:p>
              </xdr:txBody>
            </xdr:sp>
            <xdr:sp macro="" textlink="">
              <xdr:nvSpPr>
                <xdr:cNvPr id="4108" name="Сумма" descr="8" hidden="1">
                  <a:extLst>
                    <a:ext uri="{63B3BB69-23CF-44E3-9099-C40C66FF867C}">
                      <a14:compatExt spid="_x0000_s4108"/>
                    </a:ext>
                    <a:ext uri="{FF2B5EF4-FFF2-40B4-BE49-F238E27FC236}">
                      <a16:creationId xmlns:a16="http://schemas.microsoft.com/office/drawing/2014/main" id="{00000000-0008-0000-0300-00000C100000}"/>
                    </a:ext>
                  </a:extLst>
                </xdr:cNvPr>
                <xdr:cNvSpPr/>
              </xdr:nvSpPr>
              <xdr:spPr bwMode="auto">
                <a:xfrm>
                  <a:off x="847582" y="2180173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Сумма</a:t>
                  </a:r>
                </a:p>
              </xdr:txBody>
            </xdr:sp>
            <xdr:sp macro="" textlink="">
              <xdr:nvSpPr>
                <xdr:cNvPr id="4109" name="Цена" descr="7" hidden="1">
                  <a:extLst>
                    <a:ext uri="{63B3BB69-23CF-44E3-9099-C40C66FF867C}">
                      <a14:compatExt spid="_x0000_s4109"/>
                    </a:ext>
                    <a:ext uri="{FF2B5EF4-FFF2-40B4-BE49-F238E27FC236}">
                      <a16:creationId xmlns:a16="http://schemas.microsoft.com/office/drawing/2014/main" id="{00000000-0008-0000-0300-00000D100000}"/>
                    </a:ext>
                  </a:extLst>
                </xdr:cNvPr>
                <xdr:cNvSpPr/>
              </xdr:nvSpPr>
              <xdr:spPr bwMode="auto">
                <a:xfrm>
                  <a:off x="847582" y="1927068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Цена</a:t>
                  </a:r>
                </a:p>
              </xdr:txBody>
            </xdr:sp>
            <xdr:sp macro="" textlink="">
              <xdr:nvSpPr>
                <xdr:cNvPr id="4107" name="Ед. изм." descr="6" hidden="1">
                  <a:extLst>
                    <a:ext uri="{63B3BB69-23CF-44E3-9099-C40C66FF867C}">
                      <a14:compatExt spid="_x0000_s4107"/>
                    </a:ext>
                    <a:ext uri="{FF2B5EF4-FFF2-40B4-BE49-F238E27FC236}">
                      <a16:creationId xmlns:a16="http://schemas.microsoft.com/office/drawing/2014/main" id="{00000000-0008-0000-0300-00000B100000}"/>
                    </a:ext>
                  </a:extLst>
                </xdr:cNvPr>
                <xdr:cNvSpPr/>
              </xdr:nvSpPr>
              <xdr:spPr bwMode="auto">
                <a:xfrm>
                  <a:off x="847582" y="1673964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Ед. изм.</a:t>
                  </a:r>
                </a:p>
              </xdr:txBody>
            </xdr:sp>
            <xdr:sp macro="" textlink="">
              <xdr:nvSpPr>
                <xdr:cNvPr id="4106" name="Кол-во" descr="5" hidden="1">
                  <a:extLst>
                    <a:ext uri="{63B3BB69-23CF-44E3-9099-C40C66FF867C}">
                      <a14:compatExt spid="_x0000_s4106"/>
                    </a:ext>
                    <a:ext uri="{FF2B5EF4-FFF2-40B4-BE49-F238E27FC236}">
                      <a16:creationId xmlns:a16="http://schemas.microsoft.com/office/drawing/2014/main" id="{00000000-0008-0000-0300-00000A100000}"/>
                    </a:ext>
                  </a:extLst>
                </xdr:cNvPr>
                <xdr:cNvSpPr/>
              </xdr:nvSpPr>
              <xdr:spPr bwMode="auto">
                <a:xfrm>
                  <a:off x="847582" y="1430233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Кол-во</a:t>
                  </a:r>
                </a:p>
              </xdr:txBody>
            </xdr:sp>
            <xdr:sp macro="" textlink="">
              <xdr:nvSpPr>
                <xdr:cNvPr id="4105" name="Наименование" descr="4" hidden="1">
                  <a:extLst>
                    <a:ext uri="{63B3BB69-23CF-44E3-9099-C40C66FF867C}">
                      <a14:compatExt spid="_x0000_s4105"/>
                    </a:ext>
                    <a:ext uri="{FF2B5EF4-FFF2-40B4-BE49-F238E27FC236}">
                      <a16:creationId xmlns:a16="http://schemas.microsoft.com/office/drawing/2014/main" id="{00000000-0008-0000-0300-000009100000}"/>
                    </a:ext>
                  </a:extLst>
                </xdr:cNvPr>
                <xdr:cNvSpPr/>
              </xdr:nvSpPr>
              <xdr:spPr bwMode="auto">
                <a:xfrm>
                  <a:off x="847582" y="1177129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Наименование</a:t>
                  </a:r>
                </a:p>
              </xdr:txBody>
            </xdr:sp>
            <xdr:sp macro="" textlink="">
              <xdr:nvSpPr>
                <xdr:cNvPr id="4103" name="p/n" descr="3" hidden="1">
                  <a:extLst>
                    <a:ext uri="{63B3BB69-23CF-44E3-9099-C40C66FF867C}">
                      <a14:compatExt spid="_x0000_s4103"/>
                    </a:ext>
                    <a:ext uri="{FF2B5EF4-FFF2-40B4-BE49-F238E27FC236}">
                      <a16:creationId xmlns:a16="http://schemas.microsoft.com/office/drawing/2014/main" id="{00000000-0008-0000-0300-000007100000}"/>
                    </a:ext>
                  </a:extLst>
                </xdr:cNvPr>
                <xdr:cNvSpPr/>
              </xdr:nvSpPr>
              <xdr:spPr bwMode="auto">
                <a:xfrm>
                  <a:off x="847582" y="924024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p/n</a:t>
                  </a:r>
                </a:p>
              </xdr:txBody>
            </xdr:sp>
            <xdr:sp macro="" textlink="">
              <xdr:nvSpPr>
                <xdr:cNvPr id="4113" name="Производитель" descr="2" hidden="1">
                  <a:extLst>
                    <a:ext uri="{63B3BB69-23CF-44E3-9099-C40C66FF867C}">
                      <a14:compatExt spid="_x0000_s4113"/>
                    </a:ext>
                    <a:ext uri="{FF2B5EF4-FFF2-40B4-BE49-F238E27FC236}">
                      <a16:creationId xmlns:a16="http://schemas.microsoft.com/office/drawing/2014/main" id="{00000000-0008-0000-0300-000011100000}"/>
                    </a:ext>
                  </a:extLst>
                </xdr:cNvPr>
                <xdr:cNvSpPr/>
              </xdr:nvSpPr>
              <xdr:spPr bwMode="auto">
                <a:xfrm>
                  <a:off x="847582" y="680294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Производитель</a:t>
                  </a:r>
                </a:p>
              </xdr:txBody>
            </xdr:sp>
            <xdr:sp macro="" textlink="">
              <xdr:nvSpPr>
                <xdr:cNvPr id="4112" name="№" descr="1" hidden="1">
                  <a:extLst>
                    <a:ext uri="{63B3BB69-23CF-44E3-9099-C40C66FF867C}">
                      <a14:compatExt spid="_x0000_s4112"/>
                    </a:ext>
                    <a:ext uri="{FF2B5EF4-FFF2-40B4-BE49-F238E27FC236}">
                      <a16:creationId xmlns:a16="http://schemas.microsoft.com/office/drawing/2014/main" id="{00000000-0008-0000-0300-000010100000}"/>
                    </a:ext>
                  </a:extLst>
                </xdr:cNvPr>
                <xdr:cNvSpPr/>
              </xdr:nvSpPr>
              <xdr:spPr bwMode="auto">
                <a:xfrm>
                  <a:off x="847582" y="427188"/>
                  <a:ext cx="1543918" cy="2718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№</a:t>
                  </a:r>
                </a:p>
              </xdr:txBody>
            </xdr:sp>
          </xdr:grpSp>
          <xdr:sp macro="" textlink="">
            <xdr:nvSpPr>
              <xdr:cNvPr id="4116" name="Окно группы: колонки таблицы КП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300-000014100000}"/>
                  </a:ext>
                </a:extLst>
              </xdr:cNvPr>
              <xdr:cNvSpPr/>
            </xdr:nvSpPr>
            <xdr:spPr bwMode="auto">
              <a:xfrm>
                <a:off x="787081" y="403876"/>
                <a:ext cx="1728216" cy="210114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Колонки таблицы КП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441960</xdr:colOff>
          <xdr:row>1</xdr:row>
          <xdr:rowOff>175260</xdr:rowOff>
        </xdr:from>
        <xdr:to>
          <xdr:col>4</xdr:col>
          <xdr:colOff>2552700</xdr:colOff>
          <xdr:row>7</xdr:row>
          <xdr:rowOff>144780</xdr:rowOff>
        </xdr:to>
        <xdr:grpSp>
          <xdr:nvGrpSpPr>
            <xdr:cNvPr id="4" name="Параметры расчёта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pSpPr/>
          </xdr:nvGrpSpPr>
          <xdr:grpSpPr>
            <a:xfrm>
              <a:off x="2484120" y="358140"/>
              <a:ext cx="2110740" cy="1066800"/>
              <a:chOff x="3281748" y="1577354"/>
              <a:chExt cx="2042294" cy="1067107"/>
            </a:xfrm>
          </xdr:grpSpPr>
          <xdr:sp macro="" textlink="">
            <xdr:nvSpPr>
              <xdr:cNvPr id="4115" name="Включить доставку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300-000013100000}"/>
                  </a:ext>
                </a:extLst>
              </xdr:cNvPr>
              <xdr:cNvSpPr/>
            </xdr:nvSpPr>
            <xdr:spPr bwMode="auto">
              <a:xfrm>
                <a:off x="3377596" y="2232863"/>
                <a:ext cx="1843226" cy="35824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Включить стоимость доставки в стоимость оборудования</a:t>
                </a:r>
              </a:p>
            </xdr:txBody>
          </xdr:sp>
          <xdr:sp macro="" textlink="">
            <xdr:nvSpPr>
              <xdr:cNvPr id="4114" name="Список _НДС_" descr="VATComboBox" hidden="1">
                <a:extLst>
                  <a:ext uri="{63B3BB69-23CF-44E3-9099-C40C66FF867C}">
                    <a14:compatExt spid="_x0000_s4114"/>
                  </a:ext>
                  <a:ext uri="{FF2B5EF4-FFF2-40B4-BE49-F238E27FC236}">
                    <a16:creationId xmlns:a16="http://schemas.microsoft.com/office/drawing/2014/main" id="{00000000-0008-0000-0300-000012100000}"/>
                  </a:ext>
                </a:extLst>
              </xdr:cNvPr>
              <xdr:cNvSpPr/>
            </xdr:nvSpPr>
            <xdr:spPr bwMode="auto">
              <a:xfrm>
                <a:off x="4343446" y="1981330"/>
                <a:ext cx="870002" cy="205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Список _валюта_" descr="CurrencyComboBox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300-000015100000}"/>
                  </a:ext>
                </a:extLst>
              </xdr:cNvPr>
              <xdr:cNvSpPr/>
            </xdr:nvSpPr>
            <xdr:spPr bwMode="auto">
              <a:xfrm>
                <a:off x="4343446" y="1729798"/>
                <a:ext cx="870002" cy="205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Метка _НДС_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300-000029100000}"/>
                  </a:ext>
                </a:extLst>
              </xdr:cNvPr>
              <xdr:cNvSpPr/>
            </xdr:nvSpPr>
            <xdr:spPr bwMode="auto">
              <a:xfrm>
                <a:off x="3377596" y="1981330"/>
                <a:ext cx="870002" cy="15244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НДС расчёта</a:t>
                </a:r>
              </a:p>
            </xdr:txBody>
          </xdr:sp>
          <xdr:sp macro="" textlink="">
            <xdr:nvSpPr>
              <xdr:cNvPr id="4136" name="Метка _валюта_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300-000028100000}"/>
                  </a:ext>
                </a:extLst>
              </xdr:cNvPr>
              <xdr:cNvSpPr/>
            </xdr:nvSpPr>
            <xdr:spPr bwMode="auto">
              <a:xfrm>
                <a:off x="3377596" y="1729798"/>
                <a:ext cx="870002" cy="15244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Валюта расчёта</a:t>
                </a:r>
              </a:p>
            </xdr:txBody>
          </xdr:sp>
          <xdr:sp macro="" textlink="">
            <xdr:nvSpPr>
              <xdr:cNvPr id="4135" name="Окно группы: Параметры расчёта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300-000027100000}"/>
                  </a:ext>
                </a:extLst>
              </xdr:cNvPr>
              <xdr:cNvSpPr/>
            </xdr:nvSpPr>
            <xdr:spPr bwMode="auto">
              <a:xfrm>
                <a:off x="3281748" y="1577354"/>
                <a:ext cx="2042294" cy="10671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Параметры расчёта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4</xdr:col>
      <xdr:colOff>441960</xdr:colOff>
      <xdr:row>8</xdr:row>
      <xdr:rowOff>60961</xdr:rowOff>
    </xdr:from>
    <xdr:to>
      <xdr:col>4</xdr:col>
      <xdr:colOff>2552700</xdr:colOff>
      <xdr:row>14</xdr:row>
      <xdr:rowOff>30481</xdr:rowOff>
    </xdr:to>
    <xdr:grpSp>
      <xdr:nvGrpSpPr>
        <xdr:cNvPr id="11" name="Расчёт прибыли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484120" y="1524001"/>
          <a:ext cx="2110740" cy="1066800"/>
          <a:chOff x="2484425" y="1521401"/>
          <a:chExt cx="2110231" cy="106491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30" name="Кнопка _рассчитать_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3589059" y="2282052"/>
                <a:ext cx="898943" cy="251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15</a:t>
                </a:r>
              </a:p>
            </xdr:txBody>
          </xdr:sp>
        </mc:Choice>
        <mc:Fallback/>
      </mc:AlternateContent>
      <xdr:sp macro="" textlink="">
        <xdr:nvSpPr>
          <xdr:cNvPr id="26" name="Надпись _рассчитать_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 txBox="1"/>
        </xdr:nvSpPr>
        <xdr:spPr>
          <a:xfrm>
            <a:off x="2535213" y="2284588"/>
            <a:ext cx="1004328" cy="25355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defTabSz="0"/>
            <a:r>
              <a:rPr lang="ru-RU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РАССЧИТАТЬ</a:t>
            </a:r>
            <a:r>
              <a:rPr lang="en-US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  <a:endParaRPr lang="ru-RU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8" name="CalcType">
                <a:extLst>
                  <a:ext uri="{FF2B5EF4-FFF2-40B4-BE49-F238E27FC236}">
                    <a16:creationId xmlns:a16="http://schemas.microsoft.com/office/drawing/2014/main" id="{00000000-0008-0000-0300-000008000000}"/>
                  </a:ext>
                </a:extLst>
              </xdr:cNvPr>
              <xdr:cNvGrpSpPr/>
            </xdr:nvGrpSpPr>
            <xdr:grpSpPr>
              <a:xfrm>
                <a:off x="2583461" y="1673530"/>
                <a:ext cx="898943" cy="509638"/>
                <a:chOff x="2583461" y="1673530"/>
                <a:chExt cx="898943" cy="509638"/>
              </a:xfrm>
            </xdr:grpSpPr>
            <xdr:sp macro="" textlink="">
              <xdr:nvSpPr>
                <xdr:cNvPr id="4119" name="Маржа" descr="маржа" hidden="1">
                  <a:extLst>
                    <a:ext uri="{63B3BB69-23CF-44E3-9099-C40C66FF867C}">
                      <a14:compatExt spid="_x0000_s4119"/>
                    </a:ext>
                    <a:ext uri="{FF2B5EF4-FFF2-40B4-BE49-F238E27FC236}">
                      <a16:creationId xmlns:a16="http://schemas.microsoft.com/office/drawing/2014/main" id="{00000000-0008-0000-0300-000017100000}"/>
                    </a:ext>
                  </a:extLst>
                </xdr:cNvPr>
                <xdr:cNvSpPr/>
              </xdr:nvSpPr>
              <xdr:spPr bwMode="auto">
                <a:xfrm>
                  <a:off x="2682497" y="1924545"/>
                  <a:ext cx="693253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Маржа</a:t>
                  </a:r>
                </a:p>
              </xdr:txBody>
            </xdr:sp>
            <xdr:sp macro="" textlink="">
              <xdr:nvSpPr>
                <xdr:cNvPr id="4121" name="Наценка" descr="наценка" hidden="1">
                  <a:extLst>
                    <a:ext uri="{63B3BB69-23CF-44E3-9099-C40C66FF867C}">
                      <a14:compatExt spid="_x0000_s4121"/>
                    </a:ext>
                    <a:ext uri="{FF2B5EF4-FFF2-40B4-BE49-F238E27FC236}">
                      <a16:creationId xmlns:a16="http://schemas.microsoft.com/office/drawing/2014/main" id="{00000000-0008-0000-0300-000019100000}"/>
                    </a:ext>
                  </a:extLst>
                </xdr:cNvPr>
                <xdr:cNvSpPr/>
              </xdr:nvSpPr>
              <xdr:spPr bwMode="auto">
                <a:xfrm>
                  <a:off x="2682497" y="1772415"/>
                  <a:ext cx="693253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Наценка</a:t>
                  </a:r>
                </a:p>
              </xdr:txBody>
            </xdr:sp>
            <xdr:sp macro="" textlink="">
              <xdr:nvSpPr>
                <xdr:cNvPr id="4140" name="Окно группы: Способ расчёта" hidden="1">
                  <a:extLst>
                    <a:ext uri="{63B3BB69-23CF-44E3-9099-C40C66FF867C}">
                      <a14:compatExt spid="_x0000_s4140"/>
                    </a:ext>
                    <a:ext uri="{FF2B5EF4-FFF2-40B4-BE49-F238E27FC236}">
                      <a16:creationId xmlns:a16="http://schemas.microsoft.com/office/drawing/2014/main" id="{00000000-0008-0000-0300-00002C100000}"/>
                    </a:ext>
                  </a:extLst>
                </xdr:cNvPr>
                <xdr:cNvSpPr/>
              </xdr:nvSpPr>
              <xdr:spPr bwMode="auto">
                <a:xfrm>
                  <a:off x="2583461" y="1673530"/>
                  <a:ext cx="898943" cy="50963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27432" rIns="0" bIns="0" anchor="t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Способ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0" name="CalcSource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GrpSpPr/>
            </xdr:nvGrpSpPr>
            <xdr:grpSpPr>
              <a:xfrm>
                <a:off x="3581441" y="1673530"/>
                <a:ext cx="898943" cy="509638"/>
                <a:chOff x="6165234" y="1489599"/>
                <a:chExt cx="898943" cy="509638"/>
              </a:xfrm>
            </xdr:grpSpPr>
            <xdr:sp macro="" textlink="">
              <xdr:nvSpPr>
                <xdr:cNvPr id="4144" name="От входа" descr="вход" hidden="1">
                  <a:extLst>
                    <a:ext uri="{63B3BB69-23CF-44E3-9099-C40C66FF867C}">
                      <a14:compatExt spid="_x0000_s4144"/>
                    </a:ext>
                    <a:ext uri="{FF2B5EF4-FFF2-40B4-BE49-F238E27FC236}">
                      <a16:creationId xmlns:a16="http://schemas.microsoft.com/office/drawing/2014/main" id="{00000000-0008-0000-0300-000030100000}"/>
                    </a:ext>
                  </a:extLst>
                </xdr:cNvPr>
                <xdr:cNvSpPr/>
              </xdr:nvSpPr>
              <xdr:spPr bwMode="auto">
                <a:xfrm>
                  <a:off x="6264269" y="1740614"/>
                  <a:ext cx="693253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Вход</a:t>
                  </a:r>
                </a:p>
              </xdr:txBody>
            </xdr:sp>
            <xdr:sp macro="" textlink="">
              <xdr:nvSpPr>
                <xdr:cNvPr id="4146" name="От GPL" descr="GPL" hidden="1">
                  <a:extLst>
                    <a:ext uri="{63B3BB69-23CF-44E3-9099-C40C66FF867C}">
                      <a14:compatExt spid="_x0000_s4146"/>
                    </a:ext>
                    <a:ext uri="{FF2B5EF4-FFF2-40B4-BE49-F238E27FC236}">
                      <a16:creationId xmlns:a16="http://schemas.microsoft.com/office/drawing/2014/main" id="{00000000-0008-0000-0300-000032100000}"/>
                    </a:ext>
                  </a:extLst>
                </xdr:cNvPr>
                <xdr:cNvSpPr/>
              </xdr:nvSpPr>
              <xdr:spPr bwMode="auto">
                <a:xfrm>
                  <a:off x="6264269" y="1588484"/>
                  <a:ext cx="693253" cy="22058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GPL</a:t>
                  </a:r>
                </a:p>
              </xdr:txBody>
            </xdr:sp>
            <xdr:sp macro="" textlink="">
              <xdr:nvSpPr>
                <xdr:cNvPr id="4148" name="Окно группы: Источник" hidden="1">
                  <a:extLst>
                    <a:ext uri="{63B3BB69-23CF-44E3-9099-C40C66FF867C}">
                      <a14:compatExt spid="_x0000_s4148"/>
                    </a:ext>
                    <a:ext uri="{FF2B5EF4-FFF2-40B4-BE49-F238E27FC236}">
                      <a16:creationId xmlns:a16="http://schemas.microsoft.com/office/drawing/2014/main" id="{00000000-0008-0000-0300-000034100000}"/>
                    </a:ext>
                  </a:extLst>
                </xdr:cNvPr>
                <xdr:cNvSpPr/>
              </xdr:nvSpPr>
              <xdr:spPr bwMode="auto">
                <a:xfrm>
                  <a:off x="6165234" y="1489599"/>
                  <a:ext cx="898943" cy="50963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27432" rIns="0" bIns="0" anchor="t" upright="1"/>
                <a:lstStyle/>
                <a:p>
                  <a:pPr algn="l" rtl="0">
                    <a:defRPr sz="1000"/>
                  </a:pPr>
                  <a:r>
                    <a:rPr lang="ru-RU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Источник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20" name="Окно группы: Расчёт прибыли" hidden="1">
                <a:extLst>
                  <a:ext uri="{63B3BB69-23CF-44E3-9099-C40C66FF867C}">
                    <a14:compatExt spid="_x0000_s4120"/>
                  </a:ext>
                  <a:ext uri="{FF2B5EF4-FFF2-40B4-BE49-F238E27FC236}">
                    <a16:creationId xmlns:a16="http://schemas.microsoft.com/office/drawing/2014/main" id="{00000000-0008-0000-0300-000018100000}"/>
                  </a:ext>
                </a:extLst>
              </xdr:cNvPr>
              <xdr:cNvSpPr/>
            </xdr:nvSpPr>
            <xdr:spPr bwMode="auto">
              <a:xfrm>
                <a:off x="2484425" y="1521401"/>
                <a:ext cx="2110231" cy="106491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Расчёт прибыли</a:t>
                </a:r>
              </a:p>
            </xdr:txBody>
          </xdr:sp>
        </mc:Choice>
        <mc:Fallback/>
      </mc:AlternateContent>
    </xdr:grpSp>
    <xdr:clientData/>
  </xdr:twoCellAnchor>
  <xdr:twoCellAnchor editAs="absolute">
    <xdr:from>
      <xdr:col>1</xdr:col>
      <xdr:colOff>236220</xdr:colOff>
      <xdr:row>14</xdr:row>
      <xdr:rowOff>137160</xdr:rowOff>
    </xdr:from>
    <xdr:to>
      <xdr:col>4</xdr:col>
      <xdr:colOff>2552700</xdr:colOff>
      <xdr:row>17</xdr:row>
      <xdr:rowOff>15240</xdr:rowOff>
    </xdr:to>
    <xdr:grpSp>
      <xdr:nvGrpSpPr>
        <xdr:cNvPr id="7" name="Экспорт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861060" y="2697480"/>
          <a:ext cx="3733800" cy="426720"/>
          <a:chOff x="861859" y="2697807"/>
          <a:chExt cx="3781105" cy="42682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0" name="Кнопка: в excel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300-000036100000}"/>
                  </a:ext>
                </a:extLst>
              </xdr:cNvPr>
              <xdr:cNvSpPr/>
            </xdr:nvSpPr>
            <xdr:spPr bwMode="auto">
              <a:xfrm>
                <a:off x="3616664" y="2796893"/>
                <a:ext cx="910552" cy="2743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Excel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1" name="Кнопка: в word" hidden="1">
                <a:extLst>
                  <a:ext uri="{63B3BB69-23CF-44E3-9099-C40C66FF867C}">
                    <a14:compatExt spid="_x0000_s4151"/>
                  </a:ext>
                  <a:ext uri="{FF2B5EF4-FFF2-40B4-BE49-F238E27FC236}">
                    <a16:creationId xmlns:a16="http://schemas.microsoft.com/office/drawing/2014/main" id="{00000000-0008-0000-0300-000037100000}"/>
                  </a:ext>
                </a:extLst>
              </xdr:cNvPr>
              <xdr:cNvSpPr/>
            </xdr:nvSpPr>
            <xdr:spPr bwMode="auto">
              <a:xfrm>
                <a:off x="2605797" y="2796893"/>
                <a:ext cx="910552" cy="2743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ru-RU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в Word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53" name="Окно группы: Экспортировать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300-000039100000}"/>
                  </a:ext>
                </a:extLst>
              </xdr:cNvPr>
              <xdr:cNvSpPr/>
            </xdr:nvSpPr>
            <xdr:spPr bwMode="auto">
              <a:xfrm>
                <a:off x="861859" y="2697807"/>
                <a:ext cx="3781105" cy="4268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ru-RU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Экспорт</a:t>
                </a:r>
              </a:p>
            </xdr:txBody>
          </xdr:sp>
        </mc:Choice>
        <mc:Fallback/>
      </mc:AlternateContent>
      <xdr:sp macro="" textlink="">
        <xdr:nvSpPr>
          <xdr:cNvPr id="42" name="Надпись _экспортировать_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 txBox="1"/>
        </xdr:nvSpPr>
        <xdr:spPr>
          <a:xfrm>
            <a:off x="913303" y="2850245"/>
            <a:ext cx="1491865" cy="22357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 defTabSz="0"/>
            <a:r>
              <a:rPr lang="ru-RU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ЭКСПОРТИРОВАТЬ</a:t>
            </a:r>
            <a:r>
              <a:rPr lang="en-US" sz="9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  <a:endParaRPr lang="ru-RU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Расчёт" displayName="Расчёт" ref="A15:Z113" totalsRowCount="1" headerRowDxfId="82" dataDxfId="80" totalsRowDxfId="78" headerRowBorderDxfId="81" tableBorderDxfId="79">
  <autoFilter ref="A15:Z112"/>
  <tableColumns count="26">
    <tableColumn id="1" name="1_x000a_№" dataDxfId="77" totalsRowDxfId="76" dataCellStyle="Обычный 4"/>
    <tableColumn id="2" name="2_x000a_Производитель" dataDxfId="75" totalsRowDxfId="74" dataCellStyle="Обычный 4"/>
    <tableColumn id="3" name="3_x000a_p/n" dataDxfId="73" totalsRowDxfId="72" dataCellStyle="Обычный 4"/>
    <tableColumn id="4" name="4 _x000a_Наименование" dataDxfId="71" totalsRowDxfId="70" dataCellStyle="Обычный 4"/>
    <tableColumn id="5" name="5_x000a_Кол-во" dataDxfId="69" totalsRowDxfId="68" dataCellStyle="Обычный 4"/>
    <tableColumn id="6" name="6_x000a_Ед.изм." dataDxfId="67" totalsRowDxfId="66" dataCellStyle="Обычный 4"/>
    <tableColumn id="7" name="7_x000a_Цена GPL" totalsRowLabel="Итого:" dataDxfId="65" totalsRowDxfId="64" dataCellStyle="Обычный 4">
      <calculatedColumnFormula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calculatedColumnFormula>
    </tableColumn>
    <tableColumn id="8" name="8_x000a_Сумма GPL" totalsRowFunction="custom" dataDxfId="63" totalsRowDxfId="62" dataCellStyle="Обычный 4">
      <calculatedColumnFormula>E16*G16</calculatedColumnFormula>
      <totalsRowFormula>SUMIF(Расчёт[1
№],"&lt;&gt;",Расчёт[8
Сумма GPL])</totalsRowFormula>
    </tableColumn>
    <tableColumn id="9" name="9_x000a_Скидка" totalsRowFunction="custom" dataDxfId="61" totalsRowDxfId="60" dataCellStyle="Обычный 4">
      <calculatedColumnFormula>IFERROR((G16-J16)/G16,"")</calculatedColumnFormula>
      <totalsRowFormula>IFERROR((H113-K113)/H113,"")</totalsRowFormula>
    </tableColumn>
    <tableColumn id="10" name="10_x000a_Цена Вход" totalsRowLabel="Итого:" dataDxfId="59" totalsRowDxfId="58" dataCellStyle="Обычный 4">
      <calculatedColumnFormula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calculatedColumnFormula>
    </tableColumn>
    <tableColumn id="11" name="11_x000a_Сумма Вход" totalsRowFunction="custom" dataDxfId="57" totalsRowDxfId="56" dataCellStyle="Обычный 4">
      <calculatedColumnFormula>Расчёт[[#This Row],[5
Кол-во]]*Расчёт[[#This Row],[10
Цена Вход]]</calculatedColumnFormula>
      <totalsRowFormula>SUMIF(Расчёт[1
№],"&lt;&gt;",Расчёт[11
Сумма Вход])</totalsRowFormula>
    </tableColumn>
    <tableColumn id="12" name="12_x000a_НДС вход" dataDxfId="55" totalsRowDxfId="54" dataCellStyle="Обычный 4"/>
    <tableColumn id="13" name="13_x000a_Срок поставки" dataDxfId="53" totalsRowDxfId="52" dataCellStyle="Обычный 4"/>
    <tableColumn id="14" name="14_x000a_Поставщик" dataDxfId="51" totalsRowDxfId="50" dataCellStyle="Обычный 4"/>
    <tableColumn id="15" name="15_x000a_Примечания" dataDxfId="49" totalsRowDxfId="48" dataCellStyle="Обычный 4"/>
    <tableColumn id="16" name="16_x000a_Вес" dataDxfId="47" totalsRowDxfId="46" dataCellStyle="Обычный 4"/>
    <tableColumn id="17" name="17_x000a_Всего" totalsRowFunction="custom" dataDxfId="45" totalsRowDxfId="44" dataCellStyle="Обычный 4">
      <calculatedColumnFormula>Расчёт[[#This Row],[5
Кол-во]]*Расчёт[[#This Row],[16
Вес]]</calculatedColumnFormula>
      <totalsRowFormula>SUMIF(Расчёт[1
№],"&lt;&gt;",Расчёт[17
Всего])</totalsRowFormula>
    </tableColumn>
    <tableColumn id="18" name="18_x000a_Объём" dataDxfId="43" totalsRowDxfId="42" dataCellStyle="Обычный 4"/>
    <tableColumn id="19" name="19_x000a_Всего" totalsRowFunction="custom" dataDxfId="41" totalsRowDxfId="40" dataCellStyle="Обычный 4">
      <calculatedColumnFormula>Расчёт[[#This Row],[5
Кол-во]]*Расчёт[[#This Row],[18
Объём]]</calculatedColumnFormula>
      <totalsRowFormula>SUMIF(Расчёт[1
№],"&lt;&gt;",Расчёт[19
Всего])</totalsRowFormula>
    </tableColumn>
    <tableColumn id="20" name="20_x000a_Валюта" dataDxfId="39" totalsRowDxfId="38" dataCellStyle="Обычный 4"/>
    <tableColumn id="21" name="21_x000a_Цена GPL" dataDxfId="37" totalsRowDxfId="36" dataCellStyle="Обычный 4"/>
    <tableColumn id="22" name="22_x000a_Валюта" dataDxfId="35" totalsRowDxfId="34" dataCellStyle="Обычный 4"/>
    <tableColumn id="23" name="23_x000a_Цена Вход" dataDxfId="33" totalsRowDxfId="32" dataCellStyle="Обычный 4"/>
    <tableColumn id="26" name="24_x000a_НДС закупки" dataDxfId="31" totalsRowDxfId="30" dataCellStyle="Обычный 4"/>
    <tableColumn id="24" name="25_x000a_Сумма GPL" dataDxfId="29" totalsRowDxfId="28" dataCellStyle="Обычный 4">
      <calculatedColumnFormula>Расчёт[[#This Row],[5
Кол-во]]*Расчёт[[#This Row],[21
Цена GPL]]</calculatedColumnFormula>
    </tableColumn>
    <tableColumn id="25" name="26_x000a_Сумма Вход" dataDxfId="27" totalsRowDxfId="26" dataCellStyle="Обычный 4">
      <calculatedColumnFormula>Расчёт[[#This Row],[5
Кол-во]]*Расчёт[[#This Row],[23
Цена Вход]]</calculatedColumnFormula>
    </tableColumn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Доставка" displayName="Доставка" ref="A116:H120" totalsRowCount="1" headerRowDxfId="25" dataDxfId="23" totalsRowDxfId="21" headerRowBorderDxfId="24" tableBorderDxfId="22" totalsRowBorderDxfId="20">
  <autoFilter ref="A116:H1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Вкл. в расчёт" dataDxfId="19" totalsRowDxfId="18"/>
    <tableColumn id="2" name="Способ доставки" dataDxfId="17" totalsRowDxfId="16"/>
    <tableColumn id="3" name="Срок доставки" dataDxfId="15" totalsRowDxfId="14"/>
    <tableColumn id="4" name="Адрес доставки" totalsRowLabel="Итого:" dataDxfId="13" totalsRowDxfId="12"/>
    <tableColumn id="5" name="Общий вес, кг" totalsRowFunction="custom" dataDxfId="11" totalsRowDxfId="10">
      <calculatedColumnFormula>вес</calculatedColumnFormula>
      <totalsRowFormula>SUMIF(Доставка[Вкл. в расчёт],"=да",Доставка[Общий вес, кг])</totalsRowFormula>
    </tableColumn>
    <tableColumn id="6" name="Общий объем, м3" totalsRowFunction="custom" dataDxfId="9" totalsRowDxfId="8">
      <calculatedColumnFormula>объём</calculatedColumnFormula>
      <totalsRowFormula>SUMIF(Доставка[Вкл. в расчёт],"=да",Доставка[Общий объем, м3])</totalsRowFormula>
    </tableColumn>
    <tableColumn id="7" name="Цена, руб. с НДС" totalsRowFunction="custom" dataDxfId="7" totalsRowDxfId="6">
      <totalsRowFormula>SUMIF(Доставка[Вкл. в расчёт],"=да",Доставка[Цена, руб. с НДС])</totalsRowFormula>
    </tableColumn>
    <tableColumn id="8" name="Транспортная компания" dataDxfId="5" totalsRowDxfId="4"/>
  </tableColumns>
  <tableStyleInfo name="Стиль таблицы 1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T15"/>
  <sheetViews>
    <sheetView workbookViewId="0">
      <selection activeCell="G2" sqref="G2"/>
    </sheetView>
  </sheetViews>
  <sheetFormatPr defaultRowHeight="14.4" x14ac:dyDescent="0.3"/>
  <cols>
    <col min="1" max="1" width="11.5546875" customWidth="1"/>
    <col min="2" max="4" width="6.5546875" style="14" customWidth="1"/>
    <col min="5" max="5" width="9.5546875" customWidth="1"/>
    <col min="6" max="8" width="7.88671875" customWidth="1"/>
    <col min="9" max="9" width="14.109375" customWidth="1"/>
    <col min="10" max="11" width="12.33203125" customWidth="1"/>
    <col min="13" max="13" width="13.109375" bestFit="1" customWidth="1"/>
    <col min="14" max="15" width="20.5546875" bestFit="1" customWidth="1"/>
    <col min="16" max="16" width="18.5546875" customWidth="1"/>
    <col min="17" max="17" width="22.5546875" bestFit="1" customWidth="1"/>
    <col min="18" max="18" width="23.33203125" customWidth="1"/>
    <col min="19" max="19" width="14.88671875" customWidth="1"/>
    <col min="20" max="20" width="13.109375" customWidth="1"/>
  </cols>
  <sheetData>
    <row r="1" spans="1:20" s="1" customFormat="1" x14ac:dyDescent="0.3">
      <c r="A1" s="2" t="s">
        <v>33</v>
      </c>
      <c r="B1" s="12" t="str">
        <f>INDEX(валюта,1)</f>
        <v>EUR</v>
      </c>
      <c r="C1" s="12" t="str">
        <f>INDEX(валюта,2)</f>
        <v>RUR</v>
      </c>
      <c r="D1" s="13" t="str">
        <f>INDEX(валюта,3)</f>
        <v>USD</v>
      </c>
      <c r="E1" s="2" t="s">
        <v>34</v>
      </c>
      <c r="F1" s="5" t="str">
        <f>INDEX(НДС,1)</f>
        <v>с НДС</v>
      </c>
      <c r="G1" s="5" t="str">
        <f>INDEX(НДС,2)</f>
        <v>без НДС</v>
      </c>
      <c r="H1" s="6" t="str">
        <f>INDEX(НДС,3)</f>
        <v>н/о НДС</v>
      </c>
      <c r="I1" s="19" t="s">
        <v>132</v>
      </c>
      <c r="J1" s="19" t="s">
        <v>74</v>
      </c>
      <c r="K1" s="19" t="s">
        <v>160</v>
      </c>
      <c r="L1" s="1" t="s">
        <v>35</v>
      </c>
      <c r="M1" s="1" t="s">
        <v>62</v>
      </c>
      <c r="N1" s="1" t="s">
        <v>65</v>
      </c>
      <c r="O1" s="1" t="s">
        <v>66</v>
      </c>
      <c r="P1" s="1" t="s">
        <v>91</v>
      </c>
      <c r="Q1" s="1" t="s">
        <v>181</v>
      </c>
      <c r="R1" s="1" t="s">
        <v>104</v>
      </c>
      <c r="S1" s="1" t="s">
        <v>138</v>
      </c>
      <c r="T1" s="1" t="s">
        <v>171</v>
      </c>
    </row>
    <row r="2" spans="1:20" x14ac:dyDescent="0.3">
      <c r="A2" s="3" t="s">
        <v>18</v>
      </c>
      <c r="B2" s="15">
        <v>1</v>
      </c>
      <c r="C2" s="15">
        <f>1/курс_EUR_расчётный</f>
        <v>1.3888888888888888E-2</v>
      </c>
      <c r="D2" s="16">
        <f>курс_USD_расчётный/курс_EUR_расчётный</f>
        <v>0.83333333333333337</v>
      </c>
      <c r="E2" s="7" t="s">
        <v>30</v>
      </c>
      <c r="F2" s="9">
        <v>1</v>
      </c>
      <c r="G2" s="9">
        <v>1.18</v>
      </c>
      <c r="H2" s="10">
        <v>1.18</v>
      </c>
      <c r="I2" s="9" t="s">
        <v>135</v>
      </c>
      <c r="J2" s="9" t="s">
        <v>73</v>
      </c>
      <c r="K2" s="9" t="s">
        <v>161</v>
      </c>
      <c r="L2" t="s">
        <v>29</v>
      </c>
      <c r="M2" t="s">
        <v>60</v>
      </c>
      <c r="N2">
        <f t="array" ref="N2:N11" ca="1">_xlfn.FILTERXML(_xlfn.WEBSERVICE("www.cbr.ru/scripts/XML_dynamic.asp?date_req1="&amp;TEXT(NOW()-11,"ДД/ММ/ГГГГ")&amp;"&amp;date_req2="&amp;TEXT(NOW()+1,"ДД/ММ/ГГГГ")&amp;"&amp;VAL_NM_RQ=R01235"),"//Value")</f>
        <v>59.652099999999997</v>
      </c>
      <c r="O2">
        <f t="array" ref="O2:O11" ca="1">_xlfn.FILTERXML(_xlfn.WEBSERVICE("www.cbr.ru/scripts/XML_dynamic.asp?date_req1="&amp;TEXT(NOW()-11,"ДД/ММ/ГГГГ")&amp;"&amp;date_req2="&amp;TEXT(NOW()+1,"ДД/ММ/ГГГГ")&amp;"&amp;VAL_NM_RQ=R01239"),"//Value")</f>
        <v>69.995800000000003</v>
      </c>
      <c r="P2" t="s">
        <v>166</v>
      </c>
      <c r="R2" t="s">
        <v>111</v>
      </c>
      <c r="S2" t="s">
        <v>153</v>
      </c>
    </row>
    <row r="3" spans="1:20" x14ac:dyDescent="0.3">
      <c r="A3" s="3" t="s">
        <v>20</v>
      </c>
      <c r="B3" s="15">
        <f>курс_EUR_расчётный</f>
        <v>72</v>
      </c>
      <c r="C3" s="15">
        <v>1</v>
      </c>
      <c r="D3" s="16">
        <f>курс_USD_расчётный</f>
        <v>60</v>
      </c>
      <c r="E3" s="7" t="s">
        <v>31</v>
      </c>
      <c r="F3" s="9">
        <f>1/1.18</f>
        <v>0.84745762711864414</v>
      </c>
      <c r="G3" s="9">
        <v>1</v>
      </c>
      <c r="H3" s="10">
        <v>1</v>
      </c>
      <c r="I3" s="9" t="s">
        <v>133</v>
      </c>
      <c r="J3" s="9" t="s">
        <v>72</v>
      </c>
      <c r="K3" s="9" t="s">
        <v>162</v>
      </c>
      <c r="L3" t="s">
        <v>42</v>
      </c>
      <c r="M3" t="s">
        <v>59</v>
      </c>
      <c r="N3">
        <f ca="1"/>
        <v>59.249000000000002</v>
      </c>
      <c r="O3">
        <f ca="1"/>
        <v>69.653099999999995</v>
      </c>
      <c r="P3" t="s">
        <v>167</v>
      </c>
      <c r="Q3" t="s">
        <v>182</v>
      </c>
      <c r="R3" t="s">
        <v>112</v>
      </c>
      <c r="S3" t="s">
        <v>154</v>
      </c>
      <c r="T3" t="s">
        <v>172</v>
      </c>
    </row>
    <row r="4" spans="1:20" ht="15" thickBot="1" x14ac:dyDescent="0.35">
      <c r="A4" s="4" t="s">
        <v>21</v>
      </c>
      <c r="B4" s="17">
        <f>курс_EUR_расчётный/курс_USD_расчётный</f>
        <v>1.2</v>
      </c>
      <c r="C4" s="17">
        <f>1/курс_USD_расчётный</f>
        <v>1.6666666666666666E-2</v>
      </c>
      <c r="D4" s="18">
        <v>1</v>
      </c>
      <c r="E4" s="8" t="s">
        <v>32</v>
      </c>
      <c r="F4" s="20" t="s">
        <v>75</v>
      </c>
      <c r="G4" s="20" t="s">
        <v>75</v>
      </c>
      <c r="H4" s="11">
        <v>1</v>
      </c>
      <c r="I4" s="9" t="s">
        <v>134</v>
      </c>
      <c r="J4" s="9"/>
      <c r="K4" s="9"/>
      <c r="L4" t="s">
        <v>39</v>
      </c>
      <c r="M4" t="s">
        <v>67</v>
      </c>
      <c r="N4">
        <f ca="1"/>
        <v>59.361199999999997</v>
      </c>
      <c r="O4">
        <f ca="1"/>
        <v>69.719700000000003</v>
      </c>
      <c r="P4" t="s">
        <v>151</v>
      </c>
      <c r="Q4" t="s">
        <v>182</v>
      </c>
      <c r="R4" t="s">
        <v>158</v>
      </c>
      <c r="T4" t="s">
        <v>173</v>
      </c>
    </row>
    <row r="5" spans="1:20" x14ac:dyDescent="0.3">
      <c r="L5" t="s">
        <v>41</v>
      </c>
      <c r="M5" t="s">
        <v>61</v>
      </c>
      <c r="N5">
        <f ca="1"/>
        <v>59.140900000000002</v>
      </c>
      <c r="O5">
        <f ca="1"/>
        <v>69.431399999999996</v>
      </c>
      <c r="P5" t="s">
        <v>94</v>
      </c>
      <c r="Q5" t="s">
        <v>188</v>
      </c>
      <c r="R5" t="s">
        <v>113</v>
      </c>
      <c r="T5" t="s">
        <v>174</v>
      </c>
    </row>
    <row r="6" spans="1:20" x14ac:dyDescent="0.3">
      <c r="L6" t="s">
        <v>40</v>
      </c>
      <c r="N6">
        <f ca="1"/>
        <v>59.0396</v>
      </c>
      <c r="O6">
        <f ca="1"/>
        <v>69.59</v>
      </c>
      <c r="P6" t="s">
        <v>95</v>
      </c>
      <c r="Q6" t="s">
        <v>186</v>
      </c>
      <c r="R6" t="s">
        <v>105</v>
      </c>
      <c r="T6" t="s">
        <v>175</v>
      </c>
    </row>
    <row r="7" spans="1:20" x14ac:dyDescent="0.3">
      <c r="L7" t="s">
        <v>38</v>
      </c>
      <c r="N7">
        <f ca="1"/>
        <v>59.1312</v>
      </c>
      <c r="O7">
        <f ca="1"/>
        <v>69.561899999999994</v>
      </c>
      <c r="P7" t="s">
        <v>92</v>
      </c>
      <c r="Q7" t="s">
        <v>182</v>
      </c>
      <c r="R7" t="s">
        <v>106</v>
      </c>
    </row>
    <row r="8" spans="1:20" x14ac:dyDescent="0.3">
      <c r="L8" t="s">
        <v>36</v>
      </c>
      <c r="N8">
        <f ca="1"/>
        <v>59.139699999999998</v>
      </c>
      <c r="O8">
        <f ca="1"/>
        <v>69.743399999999994</v>
      </c>
      <c r="P8" t="s">
        <v>93</v>
      </c>
      <c r="Q8" t="s">
        <v>85</v>
      </c>
      <c r="R8" t="s">
        <v>107</v>
      </c>
    </row>
    <row r="9" spans="1:20" x14ac:dyDescent="0.3">
      <c r="L9" t="s">
        <v>37</v>
      </c>
      <c r="N9">
        <f ca="1"/>
        <v>59.147599999999997</v>
      </c>
      <c r="O9">
        <f ca="1"/>
        <v>69.6995</v>
      </c>
      <c r="P9" t="s">
        <v>130</v>
      </c>
      <c r="R9" t="s">
        <v>108</v>
      </c>
    </row>
    <row r="10" spans="1:20" x14ac:dyDescent="0.3">
      <c r="N10" t="e">
        <f ca="1"/>
        <v>#N/A</v>
      </c>
      <c r="O10" t="e">
        <f ca="1"/>
        <v>#N/A</v>
      </c>
      <c r="P10" t="s">
        <v>152</v>
      </c>
      <c r="Q10" t="s">
        <v>187</v>
      </c>
      <c r="R10" t="s">
        <v>109</v>
      </c>
    </row>
    <row r="11" spans="1:20" x14ac:dyDescent="0.3">
      <c r="N11" t="e">
        <f ca="1"/>
        <v>#N/A</v>
      </c>
      <c r="O11" t="e">
        <f ca="1"/>
        <v>#N/A</v>
      </c>
      <c r="P11" t="s">
        <v>153</v>
      </c>
      <c r="Q11" t="s">
        <v>185</v>
      </c>
      <c r="R11" t="s">
        <v>110</v>
      </c>
    </row>
    <row r="12" spans="1:20" x14ac:dyDescent="0.3">
      <c r="P12" t="s">
        <v>168</v>
      </c>
      <c r="Q12" t="s">
        <v>183</v>
      </c>
    </row>
    <row r="13" spans="1:20" x14ac:dyDescent="0.3">
      <c r="P13" t="s">
        <v>170</v>
      </c>
      <c r="Q13" t="s">
        <v>189</v>
      </c>
    </row>
    <row r="14" spans="1:20" x14ac:dyDescent="0.3">
      <c r="P14" t="s">
        <v>154</v>
      </c>
      <c r="Q14" t="s">
        <v>184</v>
      </c>
    </row>
    <row r="15" spans="1:20" x14ac:dyDescent="0.3">
      <c r="B15"/>
      <c r="C15"/>
      <c r="D15"/>
      <c r="P15" t="s">
        <v>169</v>
      </c>
    </row>
  </sheetData>
  <sheetProtection formatCells="0" formatColumns="0" formatRows="0" insertColumns="0" insertRows="0" insertHyperlinks="0" deleteColumns="0" deleteRows="0" sort="0" autoFilter="0" pivotTables="0"/>
  <sortState ref="P2:P15">
    <sortCondition ref="P15"/>
  </sortState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O92"/>
  <sheetViews>
    <sheetView zoomScaleNormal="100" workbookViewId="0">
      <selection activeCell="H3" sqref="H3"/>
    </sheetView>
  </sheetViews>
  <sheetFormatPr defaultColWidth="8.88671875" defaultRowHeight="13.8" x14ac:dyDescent="0.3"/>
  <cols>
    <col min="1" max="1" width="4" style="21" customWidth="1"/>
    <col min="2" max="2" width="6.44140625" style="21" customWidth="1"/>
    <col min="3" max="3" width="3.33203125" style="21" customWidth="1"/>
    <col min="4" max="4" width="12.33203125" style="21" customWidth="1"/>
    <col min="5" max="10" width="4.88671875" style="21" customWidth="1"/>
    <col min="11" max="11" width="5.109375" style="21" customWidth="1"/>
    <col min="12" max="12" width="7.109375" style="21" customWidth="1"/>
    <col min="13" max="13" width="15.77734375" style="21" customWidth="1"/>
    <col min="14" max="14" width="4" style="21" customWidth="1"/>
    <col min="15" max="16384" width="8.88671875" style="21"/>
  </cols>
  <sheetData>
    <row r="1" spans="1:14" s="30" customFormat="1" ht="17.399999999999999" x14ac:dyDescent="0.3">
      <c r="A1" s="265" t="s">
        <v>76</v>
      </c>
      <c r="B1" s="265"/>
      <c r="C1" s="265"/>
      <c r="D1" s="265"/>
      <c r="E1" s="263" t="s">
        <v>190</v>
      </c>
      <c r="F1" s="263"/>
      <c r="G1" s="263"/>
      <c r="H1" s="263"/>
      <c r="I1" s="263"/>
      <c r="J1" s="263"/>
      <c r="K1" s="60" t="s">
        <v>2</v>
      </c>
      <c r="L1" s="263"/>
      <c r="M1" s="263"/>
      <c r="N1" s="263"/>
    </row>
    <row r="2" spans="1:14" s="30" customFormat="1" ht="17.399999999999999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2" t="s">
        <v>77</v>
      </c>
      <c r="L2" s="264"/>
      <c r="M2" s="264"/>
      <c r="N2" s="264"/>
    </row>
    <row r="4" spans="1:14" x14ac:dyDescent="0.3">
      <c r="G4" s="266" t="s">
        <v>78</v>
      </c>
      <c r="H4" s="267"/>
      <c r="I4" s="267"/>
      <c r="J4" s="267"/>
      <c r="K4" s="267"/>
      <c r="L4" s="271" t="s">
        <v>115</v>
      </c>
      <c r="M4" s="271"/>
      <c r="N4" s="272"/>
    </row>
    <row r="6" spans="1:14" x14ac:dyDescent="0.3">
      <c r="A6" s="246" t="s">
        <v>79</v>
      </c>
      <c r="B6" s="246"/>
      <c r="C6" s="246"/>
      <c r="D6" s="273">
        <f>контрагент</f>
        <v>0</v>
      </c>
      <c r="E6" s="273"/>
      <c r="F6" s="273"/>
      <c r="G6" s="273"/>
      <c r="H6" s="273"/>
      <c r="I6" s="273"/>
      <c r="J6" s="22"/>
    </row>
    <row r="8" spans="1:14" x14ac:dyDescent="0.3">
      <c r="A8" s="269" t="s">
        <v>119</v>
      </c>
      <c r="B8" s="269"/>
      <c r="C8" s="269"/>
      <c r="D8" s="269"/>
      <c r="E8" s="269"/>
      <c r="F8" s="269"/>
      <c r="G8" s="269"/>
      <c r="H8" s="270"/>
      <c r="I8" s="270"/>
      <c r="J8" s="270"/>
      <c r="K8" s="270"/>
      <c r="L8" s="270"/>
      <c r="M8" s="270"/>
      <c r="N8" s="270"/>
    </row>
    <row r="9" spans="1:14" x14ac:dyDescent="0.3">
      <c r="A9" s="270"/>
      <c r="B9" s="270"/>
      <c r="C9" s="27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</row>
    <row r="10" spans="1:14" x14ac:dyDescent="0.3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  <c r="N10" s="270"/>
    </row>
    <row r="11" spans="1:14" x14ac:dyDescent="0.3">
      <c r="A11" s="23"/>
      <c r="B11" s="23"/>
      <c r="C11" s="66"/>
      <c r="D11" s="23"/>
      <c r="E11" s="23"/>
      <c r="F11" s="23"/>
      <c r="G11" s="23"/>
      <c r="H11" s="23"/>
      <c r="I11" s="23"/>
      <c r="J11" s="23"/>
      <c r="K11" s="23"/>
      <c r="L11" s="23"/>
      <c r="M11" s="23"/>
    </row>
    <row r="12" spans="1:14" ht="14.4" customHeight="1" x14ac:dyDescent="0.3">
      <c r="A12" s="246" t="s">
        <v>129</v>
      </c>
      <c r="B12" s="246"/>
      <c r="C12" s="274">
        <f>IF(MATCH(включить_НДС,НДС)=2,выручка+размер_НДС,выручка)</f>
        <v>178654.68</v>
      </c>
      <c r="D12" s="274"/>
      <c r="E12" s="274"/>
      <c r="F12" s="246" t="str">
        <f>IF(MATCH(включить_НДС,НДС,0)=3,"НДС не облагается","в т.ч. НДС 18% ")</f>
        <v xml:space="preserve">в т.ч. НДС 18% </v>
      </c>
      <c r="G12" s="246"/>
      <c r="H12" s="246"/>
      <c r="I12" s="246"/>
      <c r="J12" s="246"/>
      <c r="K12" s="246"/>
      <c r="L12" s="246"/>
      <c r="M12" s="246"/>
    </row>
    <row r="13" spans="1:14" x14ac:dyDescent="0.3">
      <c r="C13" s="66"/>
      <c r="D13" s="23"/>
      <c r="E13" s="23"/>
    </row>
    <row r="14" spans="1:14" ht="14.4" customHeight="1" x14ac:dyDescent="0.3">
      <c r="A14" s="246" t="s">
        <v>96</v>
      </c>
      <c r="B14" s="246"/>
      <c r="C14" s="274">
        <f>IF(MATCH(включить_НДС,НДС)=2,(выручка-себестоимость)*1.18,выручка-себестоимость)</f>
        <v>26798.07866666661</v>
      </c>
      <c r="D14" s="274"/>
      <c r="E14" s="274"/>
      <c r="F14" s="268" t="str">
        <f>"("&amp;TEXT((выручка-себестоимость)/выручка,"0,00%")&amp;" от выручки) "&amp;IF(включить_транспортные_расходы="да","с учётом доставки","без учёта доставки")</f>
        <v>(15,00% от выручки) с учётом доставки</v>
      </c>
      <c r="G14" s="268"/>
      <c r="H14" s="268"/>
      <c r="I14" s="268"/>
      <c r="J14" s="268"/>
      <c r="K14" s="268"/>
      <c r="L14" s="268"/>
      <c r="M14" s="268"/>
    </row>
    <row r="15" spans="1:14" ht="14.4" thickBot="1" x14ac:dyDescent="0.35"/>
    <row r="16" spans="1:14" ht="14.4" thickTop="1" x14ac:dyDescent="0.3">
      <c r="A16" s="41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/>
    </row>
    <row r="17" spans="1:15" ht="15" x14ac:dyDescent="0.3">
      <c r="A17" s="47"/>
      <c r="B17" s="245" t="s">
        <v>81</v>
      </c>
      <c r="C17" s="245"/>
      <c r="D17" s="245"/>
      <c r="E17" s="24"/>
      <c r="F17" s="24"/>
      <c r="G17" s="24"/>
      <c r="H17" s="24"/>
      <c r="I17" s="24"/>
      <c r="J17" s="24"/>
      <c r="K17" s="24"/>
      <c r="L17" s="24"/>
      <c r="M17" s="24"/>
      <c r="N17" s="48"/>
    </row>
    <row r="18" spans="1:15" x14ac:dyDescent="0.3">
      <c r="A18" s="47"/>
      <c r="B18" s="25"/>
      <c r="C18" s="65"/>
      <c r="D18" s="25"/>
      <c r="E18" s="24"/>
      <c r="F18" s="24"/>
      <c r="G18" s="24"/>
      <c r="H18" s="24"/>
      <c r="I18" s="24"/>
      <c r="J18" s="24"/>
      <c r="K18" s="24"/>
      <c r="L18" s="24"/>
      <c r="M18" s="24"/>
      <c r="N18" s="48"/>
    </row>
    <row r="19" spans="1:15" ht="14.4" customHeight="1" x14ac:dyDescent="0.3">
      <c r="A19" s="47"/>
      <c r="B19" s="26" t="s">
        <v>117</v>
      </c>
      <c r="C19" s="244" t="s">
        <v>118</v>
      </c>
      <c r="D19" s="244"/>
      <c r="E19" s="244" t="s">
        <v>136</v>
      </c>
      <c r="F19" s="244"/>
      <c r="G19" s="244" t="s">
        <v>120</v>
      </c>
      <c r="H19" s="244"/>
      <c r="I19" s="244"/>
      <c r="J19" s="244" t="s">
        <v>121</v>
      </c>
      <c r="K19" s="244"/>
      <c r="L19" s="244"/>
      <c r="M19" s="244"/>
      <c r="N19" s="48"/>
    </row>
    <row r="20" spans="1:15" ht="14.4" customHeight="1" x14ac:dyDescent="0.3">
      <c r="A20" s="47"/>
      <c r="B20" s="22">
        <v>1</v>
      </c>
      <c r="C20" s="254"/>
      <c r="D20" s="254"/>
      <c r="E20" s="251"/>
      <c r="F20" s="251"/>
      <c r="G20" s="79"/>
      <c r="H20" s="77"/>
      <c r="I20" s="77"/>
      <c r="J20" s="249"/>
      <c r="K20" s="249"/>
      <c r="L20" s="249"/>
      <c r="M20" s="249"/>
      <c r="N20" s="48"/>
    </row>
    <row r="21" spans="1:15" ht="14.4" customHeight="1" x14ac:dyDescent="0.3">
      <c r="A21" s="47"/>
      <c r="B21" s="83">
        <v>2</v>
      </c>
      <c r="C21" s="253"/>
      <c r="D21" s="253"/>
      <c r="E21" s="252"/>
      <c r="F21" s="252"/>
      <c r="G21" s="82"/>
      <c r="H21" s="80"/>
      <c r="I21" s="81"/>
      <c r="J21" s="250"/>
      <c r="K21" s="250"/>
      <c r="L21" s="250"/>
      <c r="M21" s="250"/>
      <c r="N21" s="48"/>
    </row>
    <row r="22" spans="1:15" ht="14.4" customHeight="1" x14ac:dyDescent="0.3">
      <c r="A22" s="47"/>
      <c r="B22" s="22">
        <v>3</v>
      </c>
      <c r="C22" s="253"/>
      <c r="D22" s="253"/>
      <c r="E22" s="252"/>
      <c r="F22" s="252"/>
      <c r="G22" s="78"/>
      <c r="H22" s="76"/>
      <c r="I22" s="77"/>
      <c r="J22" s="250"/>
      <c r="K22" s="250"/>
      <c r="L22" s="250"/>
      <c r="M22" s="250"/>
      <c r="N22" s="48"/>
    </row>
    <row r="23" spans="1:15" x14ac:dyDescent="0.3">
      <c r="A23" s="47"/>
      <c r="B23" s="25"/>
      <c r="C23" s="6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59"/>
    </row>
    <row r="24" spans="1:15" ht="14.4" customHeight="1" x14ac:dyDescent="0.3">
      <c r="A24" s="47"/>
      <c r="B24" s="67" t="s">
        <v>116</v>
      </c>
      <c r="C24" s="251"/>
      <c r="D24" s="251"/>
      <c r="E24" s="25"/>
      <c r="F24" s="248" t="s">
        <v>122</v>
      </c>
      <c r="G24" s="248"/>
      <c r="H24" s="248"/>
      <c r="I24" s="248"/>
      <c r="J24" s="248"/>
      <c r="K24" s="251"/>
      <c r="L24" s="251"/>
      <c r="M24" s="25"/>
      <c r="N24" s="59"/>
    </row>
    <row r="25" spans="1:15" ht="14.4" thickBot="1" x14ac:dyDescent="0.35">
      <c r="A25" s="50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6"/>
    </row>
    <row r="26" spans="1:15" ht="15" thickTop="1" thickBot="1" x14ac:dyDescent="0.35">
      <c r="E26" s="24"/>
      <c r="F26" s="24"/>
      <c r="G26" s="24"/>
      <c r="H26" s="24"/>
      <c r="I26" s="24"/>
      <c r="J26" s="24"/>
      <c r="K26" s="24"/>
      <c r="L26" s="24"/>
      <c r="M26" s="24"/>
      <c r="N26" s="24"/>
    </row>
    <row r="27" spans="1:15" ht="14.4" thickTop="1" x14ac:dyDescent="0.3">
      <c r="A27" s="41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/>
    </row>
    <row r="28" spans="1:15" s="29" customFormat="1" ht="15" x14ac:dyDescent="0.3">
      <c r="A28" s="45"/>
      <c r="B28" s="245" t="s">
        <v>123</v>
      </c>
      <c r="C28" s="245"/>
      <c r="D28" s="245"/>
      <c r="E28" s="245"/>
      <c r="F28" s="245"/>
      <c r="G28" s="245"/>
      <c r="H28" s="245"/>
      <c r="I28" s="245"/>
      <c r="J28" s="31"/>
      <c r="K28" s="31"/>
      <c r="L28" s="31"/>
      <c r="M28" s="31"/>
      <c r="N28" s="46"/>
    </row>
    <row r="29" spans="1:15" x14ac:dyDescent="0.3">
      <c r="A29" s="47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48"/>
    </row>
    <row r="30" spans="1:15" ht="14.4" customHeight="1" x14ac:dyDescent="0.3">
      <c r="A30" s="47"/>
      <c r="B30" s="26" t="s">
        <v>117</v>
      </c>
      <c r="C30" s="244" t="s">
        <v>124</v>
      </c>
      <c r="D30" s="244"/>
      <c r="E30" s="244"/>
      <c r="F30" s="244" t="s">
        <v>136</v>
      </c>
      <c r="G30" s="244"/>
      <c r="H30" s="244" t="s">
        <v>120</v>
      </c>
      <c r="I30" s="244"/>
      <c r="J30" s="244"/>
      <c r="K30" s="244" t="s">
        <v>121</v>
      </c>
      <c r="L30" s="244"/>
      <c r="M30" s="244"/>
      <c r="N30" s="57"/>
      <c r="O30" s="24"/>
    </row>
    <row r="31" spans="1:15" ht="14.4" customHeight="1" x14ac:dyDescent="0.3">
      <c r="A31" s="47"/>
      <c r="B31" s="22">
        <v>1</v>
      </c>
      <c r="C31" s="255"/>
      <c r="D31" s="255"/>
      <c r="E31" s="255"/>
      <c r="F31" s="256"/>
      <c r="G31" s="256"/>
      <c r="H31" s="72"/>
      <c r="I31" s="72"/>
      <c r="J31" s="72"/>
      <c r="K31" s="249"/>
      <c r="L31" s="249"/>
      <c r="M31" s="249"/>
      <c r="N31" s="58"/>
    </row>
    <row r="32" spans="1:15" ht="14.4" customHeight="1" x14ac:dyDescent="0.3">
      <c r="A32" s="47"/>
      <c r="B32" s="83">
        <v>2</v>
      </c>
      <c r="C32" s="255"/>
      <c r="D32" s="255"/>
      <c r="E32" s="255"/>
      <c r="F32" s="256"/>
      <c r="G32" s="256"/>
      <c r="H32" s="81"/>
      <c r="I32" s="81"/>
      <c r="J32" s="81"/>
      <c r="K32" s="249"/>
      <c r="L32" s="249"/>
      <c r="M32" s="249"/>
      <c r="N32" s="58"/>
    </row>
    <row r="33" spans="1:14" ht="14.4" customHeight="1" x14ac:dyDescent="0.3">
      <c r="A33" s="47"/>
      <c r="B33" s="83">
        <v>3</v>
      </c>
      <c r="C33" s="255"/>
      <c r="D33" s="255"/>
      <c r="E33" s="255"/>
      <c r="F33" s="256"/>
      <c r="G33" s="256"/>
      <c r="H33" s="81"/>
      <c r="I33" s="81"/>
      <c r="J33" s="81"/>
      <c r="K33" s="249"/>
      <c r="L33" s="249"/>
      <c r="M33" s="249"/>
      <c r="N33" s="58"/>
    </row>
    <row r="34" spans="1:14" x14ac:dyDescent="0.3">
      <c r="A34" s="47"/>
      <c r="B34" s="24"/>
      <c r="C34" s="67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48"/>
    </row>
    <row r="35" spans="1:14" ht="14.4" customHeight="1" x14ac:dyDescent="0.3">
      <c r="A35" s="47"/>
      <c r="B35" s="67" t="s">
        <v>116</v>
      </c>
      <c r="C35" s="251"/>
      <c r="D35" s="251"/>
      <c r="E35" s="25"/>
      <c r="F35" s="248" t="s">
        <v>122</v>
      </c>
      <c r="G35" s="248"/>
      <c r="H35" s="248"/>
      <c r="I35" s="248"/>
      <c r="J35" s="248"/>
      <c r="K35" s="251"/>
      <c r="L35" s="251"/>
      <c r="M35" s="24"/>
      <c r="N35" s="48"/>
    </row>
    <row r="36" spans="1:14" ht="14.4" thickBot="1" x14ac:dyDescent="0.35">
      <c r="A36" s="50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6"/>
    </row>
    <row r="37" spans="1:14" ht="15" thickTop="1" thickBot="1" x14ac:dyDescent="0.35"/>
    <row r="38" spans="1:14" ht="14.4" thickTop="1" x14ac:dyDescent="0.3">
      <c r="A38" s="41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4"/>
    </row>
    <row r="39" spans="1:14" s="29" customFormat="1" ht="15" x14ac:dyDescent="0.3">
      <c r="A39" s="45"/>
      <c r="B39" s="245" t="s">
        <v>126</v>
      </c>
      <c r="C39" s="245"/>
      <c r="D39" s="245"/>
      <c r="E39" s="31"/>
      <c r="F39" s="31"/>
      <c r="G39" s="31"/>
      <c r="H39" s="31"/>
      <c r="I39" s="31"/>
      <c r="J39" s="31"/>
      <c r="K39" s="31"/>
      <c r="L39" s="31"/>
      <c r="M39" s="31"/>
      <c r="N39" s="46"/>
    </row>
    <row r="40" spans="1:14" x14ac:dyDescent="0.3">
      <c r="A40" s="47"/>
      <c r="B40" s="24"/>
      <c r="C40" s="67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48"/>
    </row>
    <row r="41" spans="1:14" x14ac:dyDescent="0.3">
      <c r="A41" s="47"/>
      <c r="B41" s="260" t="s">
        <v>125</v>
      </c>
      <c r="C41" s="260"/>
      <c r="D41" s="260"/>
      <c r="E41" s="261"/>
      <c r="F41" s="261"/>
      <c r="G41" s="24"/>
      <c r="H41" s="262" t="s">
        <v>127</v>
      </c>
      <c r="I41" s="262"/>
      <c r="J41" s="262"/>
      <c r="K41" s="259"/>
      <c r="L41" s="259"/>
      <c r="M41" s="32"/>
      <c r="N41" s="48"/>
    </row>
    <row r="42" spans="1:14" x14ac:dyDescent="0.3">
      <c r="A42" s="47"/>
      <c r="B42" s="24"/>
      <c r="C42" s="67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48"/>
    </row>
    <row r="43" spans="1:14" x14ac:dyDescent="0.3">
      <c r="A43" s="47"/>
      <c r="B43" s="260" t="s">
        <v>128</v>
      </c>
      <c r="C43" s="260"/>
      <c r="D43" s="258"/>
      <c r="E43" s="258"/>
      <c r="F43" s="258"/>
      <c r="G43" s="258"/>
      <c r="H43" s="258"/>
      <c r="I43" s="258"/>
      <c r="J43" s="258"/>
      <c r="K43" s="258"/>
      <c r="L43" s="258"/>
      <c r="M43" s="258"/>
      <c r="N43" s="48"/>
    </row>
    <row r="44" spans="1:14" x14ac:dyDescent="0.3">
      <c r="A44" s="47"/>
      <c r="B44" s="24"/>
      <c r="C44" s="68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48"/>
    </row>
    <row r="45" spans="1:14" ht="14.4" thickBot="1" x14ac:dyDescent="0.35">
      <c r="A45" s="50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6"/>
    </row>
    <row r="46" spans="1:14" ht="15" thickTop="1" thickBot="1" x14ac:dyDescent="0.35">
      <c r="B46" s="27"/>
      <c r="C46" s="64"/>
      <c r="D46" s="27"/>
      <c r="E46" s="28"/>
      <c r="F46" s="28"/>
      <c r="G46" s="28"/>
      <c r="H46" s="28"/>
      <c r="I46" s="28"/>
      <c r="J46" s="28"/>
      <c r="K46" s="28"/>
    </row>
    <row r="47" spans="1:14" ht="14.4" thickTop="1" x14ac:dyDescent="0.3">
      <c r="A47" s="41"/>
      <c r="B47" s="54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</row>
    <row r="48" spans="1:14" s="29" customFormat="1" ht="15" x14ac:dyDescent="0.3">
      <c r="A48" s="45"/>
      <c r="B48" s="245" t="s">
        <v>100</v>
      </c>
      <c r="C48" s="245"/>
      <c r="E48" s="71" t="s">
        <v>71</v>
      </c>
      <c r="F48" s="31"/>
      <c r="H48" s="31"/>
      <c r="I48" s="31"/>
      <c r="J48" s="31"/>
      <c r="K48" s="31"/>
      <c r="L48" s="31"/>
      <c r="M48" s="31"/>
      <c r="N48" s="46"/>
    </row>
    <row r="49" spans="1:14" hidden="1" x14ac:dyDescent="0.3">
      <c r="A49" s="47"/>
      <c r="B49" s="24"/>
      <c r="C49" s="67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48"/>
    </row>
    <row r="50" spans="1:14" hidden="1" x14ac:dyDescent="0.3">
      <c r="A50" s="47"/>
      <c r="B50" s="260" t="s">
        <v>101</v>
      </c>
      <c r="C50" s="260"/>
      <c r="D50" s="260"/>
      <c r="E50" s="247"/>
      <c r="F50" s="247"/>
      <c r="G50" s="247"/>
      <c r="H50" s="247"/>
      <c r="I50" s="247"/>
      <c r="J50" s="248" t="s">
        <v>103</v>
      </c>
      <c r="K50" s="248"/>
      <c r="L50" s="39" t="s">
        <v>150</v>
      </c>
      <c r="M50" s="24"/>
      <c r="N50" s="48"/>
    </row>
    <row r="51" spans="1:14" hidden="1" x14ac:dyDescent="0.3">
      <c r="A51" s="47"/>
      <c r="B51" s="24"/>
      <c r="C51" s="67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48"/>
    </row>
    <row r="52" spans="1:14" hidden="1" x14ac:dyDescent="0.3">
      <c r="A52" s="47"/>
      <c r="B52" s="260" t="s">
        <v>114</v>
      </c>
      <c r="C52" s="260"/>
      <c r="D52" s="260"/>
      <c r="E52" s="275"/>
      <c r="F52" s="275"/>
      <c r="G52" s="275"/>
      <c r="H52" s="275"/>
      <c r="I52" s="275"/>
      <c r="J52" s="275"/>
      <c r="K52" s="275"/>
      <c r="L52" s="275"/>
      <c r="M52" s="275"/>
      <c r="N52" s="48"/>
    </row>
    <row r="53" spans="1:14" hidden="1" x14ac:dyDescent="0.3">
      <c r="A53" s="47"/>
      <c r="B53" s="24"/>
      <c r="C53" s="67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48"/>
    </row>
    <row r="54" spans="1:14" hidden="1" x14ac:dyDescent="0.3">
      <c r="A54" s="47"/>
      <c r="B54" s="277" t="s">
        <v>55</v>
      </c>
      <c r="C54" s="277"/>
      <c r="D54" s="277"/>
      <c r="E54" s="277"/>
      <c r="F54" s="277"/>
      <c r="G54" s="277"/>
      <c r="H54" s="277"/>
      <c r="I54" s="278"/>
      <c r="J54" s="278"/>
      <c r="K54" s="278"/>
      <c r="L54" s="278"/>
      <c r="M54" s="278"/>
      <c r="N54" s="48"/>
    </row>
    <row r="55" spans="1:14" hidden="1" x14ac:dyDescent="0.3">
      <c r="A55" s="47"/>
      <c r="B55" s="277" t="s">
        <v>54</v>
      </c>
      <c r="C55" s="277"/>
      <c r="D55" s="277"/>
      <c r="E55" s="277"/>
      <c r="F55" s="277"/>
      <c r="G55" s="277"/>
      <c r="H55" s="277"/>
      <c r="I55" s="279"/>
      <c r="J55" s="279"/>
      <c r="K55" s="279"/>
      <c r="L55" s="279"/>
      <c r="M55" s="279"/>
      <c r="N55" s="48"/>
    </row>
    <row r="56" spans="1:14" hidden="1" x14ac:dyDescent="0.3">
      <c r="A56" s="47"/>
      <c r="B56" s="277" t="s">
        <v>64</v>
      </c>
      <c r="C56" s="277"/>
      <c r="D56" s="277"/>
      <c r="E56" s="277"/>
      <c r="F56" s="277"/>
      <c r="G56" s="277"/>
      <c r="H56" s="277"/>
      <c r="I56" s="279"/>
      <c r="J56" s="279"/>
      <c r="K56" s="279"/>
      <c r="L56" s="279"/>
      <c r="M56" s="279"/>
      <c r="N56" s="48"/>
    </row>
    <row r="57" spans="1:14" hidden="1" x14ac:dyDescent="0.3">
      <c r="A57" s="47"/>
      <c r="B57" s="277" t="s">
        <v>56</v>
      </c>
      <c r="C57" s="277"/>
      <c r="D57" s="277"/>
      <c r="E57" s="277"/>
      <c r="F57" s="277"/>
      <c r="G57" s="277"/>
      <c r="H57" s="277"/>
      <c r="I57" s="279"/>
      <c r="J57" s="279"/>
      <c r="K57" s="279"/>
      <c r="L57" s="279"/>
      <c r="M57" s="279"/>
      <c r="N57" s="48"/>
    </row>
    <row r="58" spans="1:14" hidden="1" x14ac:dyDescent="0.3">
      <c r="A58" s="47"/>
      <c r="B58" s="24"/>
      <c r="C58" s="67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48"/>
    </row>
    <row r="59" spans="1:14" hidden="1" x14ac:dyDescent="0.3">
      <c r="A59" s="47"/>
      <c r="B59" s="260" t="s">
        <v>102</v>
      </c>
      <c r="C59" s="260"/>
      <c r="D59" s="275"/>
      <c r="E59" s="275"/>
      <c r="F59" s="275"/>
      <c r="G59" s="275"/>
      <c r="H59" s="275"/>
      <c r="I59" s="275"/>
      <c r="J59" s="275"/>
      <c r="K59" s="275"/>
      <c r="L59" s="275"/>
      <c r="M59" s="275"/>
      <c r="N59" s="70"/>
    </row>
    <row r="60" spans="1:14" ht="14.4" thickBot="1" x14ac:dyDescent="0.35">
      <c r="A60" s="50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6"/>
    </row>
    <row r="61" spans="1:14" ht="15" thickTop="1" thickBot="1" x14ac:dyDescent="0.35"/>
    <row r="62" spans="1:14" ht="14.4" thickTop="1" x14ac:dyDescent="0.3">
      <c r="A62" s="41"/>
      <c r="B62" s="280"/>
      <c r="C62" s="280"/>
      <c r="D62" s="280"/>
      <c r="E62" s="280"/>
      <c r="F62" s="42"/>
      <c r="G62" s="43"/>
      <c r="H62" s="43"/>
      <c r="I62" s="43"/>
      <c r="J62" s="43"/>
      <c r="K62" s="43"/>
      <c r="L62" s="43"/>
      <c r="M62" s="43"/>
      <c r="N62" s="44"/>
    </row>
    <row r="63" spans="1:14" s="29" customFormat="1" ht="15" x14ac:dyDescent="0.3">
      <c r="A63" s="45"/>
      <c r="B63" s="245" t="s">
        <v>97</v>
      </c>
      <c r="C63" s="245"/>
      <c r="D63" s="245"/>
      <c r="E63" s="245"/>
      <c r="F63" s="245"/>
      <c r="G63" s="71" t="s">
        <v>71</v>
      </c>
      <c r="H63" s="31"/>
      <c r="I63" s="31"/>
      <c r="J63" s="31"/>
      <c r="K63" s="31"/>
      <c r="L63" s="31"/>
      <c r="M63" s="31"/>
      <c r="N63" s="46"/>
    </row>
    <row r="64" spans="1:14" hidden="1" x14ac:dyDescent="0.3">
      <c r="A64" s="47"/>
      <c r="B64" s="24"/>
      <c r="C64" s="67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48"/>
    </row>
    <row r="65" spans="1:14" hidden="1" x14ac:dyDescent="0.3">
      <c r="A65" s="47"/>
      <c r="B65" s="260" t="s">
        <v>98</v>
      </c>
      <c r="C65" s="260"/>
      <c r="D65" s="260"/>
      <c r="E65" s="276"/>
      <c r="F65" s="276"/>
      <c r="G65" s="276"/>
      <c r="H65" s="276"/>
      <c r="I65" s="276"/>
      <c r="J65" s="24"/>
      <c r="K65" s="248" t="s">
        <v>23</v>
      </c>
      <c r="L65" s="248"/>
      <c r="M65" s="40"/>
      <c r="N65" s="49"/>
    </row>
    <row r="66" spans="1:14" hidden="1" x14ac:dyDescent="0.3">
      <c r="A66" s="47"/>
      <c r="B66" s="25"/>
      <c r="C66" s="65"/>
      <c r="D66" s="25"/>
      <c r="E66" s="25"/>
      <c r="F66" s="25"/>
      <c r="G66" s="25"/>
      <c r="H66" s="25"/>
      <c r="I66" s="25"/>
      <c r="J66" s="25"/>
      <c r="K66" s="25"/>
      <c r="L66" s="22"/>
      <c r="M66" s="22"/>
      <c r="N66" s="49"/>
    </row>
    <row r="67" spans="1:14" hidden="1" x14ac:dyDescent="0.3">
      <c r="A67" s="47"/>
      <c r="B67" s="260" t="s">
        <v>99</v>
      </c>
      <c r="C67" s="260"/>
      <c r="D67" s="260"/>
      <c r="E67" s="276"/>
      <c r="F67" s="276"/>
      <c r="G67" s="276"/>
      <c r="H67" s="276"/>
      <c r="I67" s="276"/>
      <c r="J67" s="276"/>
      <c r="K67" s="276"/>
      <c r="L67" s="276"/>
      <c r="M67" s="276"/>
      <c r="N67" s="49"/>
    </row>
    <row r="68" spans="1:14" ht="14.4" thickBot="1" x14ac:dyDescent="0.35">
      <c r="A68" s="50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2"/>
      <c r="M68" s="52"/>
      <c r="N68" s="53"/>
    </row>
    <row r="69" spans="1:14" ht="14.4" thickTop="1" x14ac:dyDescent="0.3">
      <c r="B69" s="27"/>
      <c r="C69" s="64"/>
      <c r="D69" s="27"/>
      <c r="E69" s="27"/>
      <c r="F69" s="27"/>
      <c r="G69" s="27"/>
      <c r="H69" s="27"/>
      <c r="I69" s="27"/>
      <c r="J69" s="27"/>
      <c r="K69" s="27"/>
      <c r="L69" s="23"/>
      <c r="M69" s="23"/>
      <c r="N69" s="23"/>
    </row>
    <row r="70" spans="1:14" ht="14.4" customHeight="1" x14ac:dyDescent="0.3">
      <c r="A70" s="246" t="s">
        <v>82</v>
      </c>
      <c r="B70" s="246"/>
      <c r="C70" s="246"/>
      <c r="D70" s="246"/>
      <c r="E70" s="255"/>
      <c r="F70" s="255"/>
      <c r="G70" s="255"/>
      <c r="H70" s="255"/>
      <c r="I70" s="255"/>
      <c r="J70" s="28"/>
      <c r="K70" s="28"/>
    </row>
    <row r="71" spans="1:14" x14ac:dyDescent="0.3">
      <c r="A71" s="27"/>
      <c r="B71" s="27"/>
      <c r="C71" s="64"/>
      <c r="D71" s="27"/>
    </row>
    <row r="72" spans="1:14" x14ac:dyDescent="0.3">
      <c r="A72" s="27"/>
      <c r="B72" s="27"/>
      <c r="C72" s="64"/>
      <c r="D72" s="27"/>
    </row>
    <row r="73" spans="1:14" ht="14.4" customHeight="1" x14ac:dyDescent="0.3">
      <c r="A73" s="246" t="s">
        <v>80</v>
      </c>
      <c r="B73" s="246"/>
      <c r="C73" s="246"/>
      <c r="D73" s="246"/>
      <c r="E73" s="283"/>
      <c r="F73" s="283"/>
      <c r="G73" s="283"/>
      <c r="H73" s="283"/>
      <c r="I73" s="286"/>
      <c r="J73" s="286"/>
      <c r="K73" s="286"/>
      <c r="L73" s="286"/>
      <c r="M73" s="69"/>
    </row>
    <row r="74" spans="1:14" ht="16.8" x14ac:dyDescent="0.3">
      <c r="E74" s="284" t="s">
        <v>90</v>
      </c>
      <c r="F74" s="284"/>
      <c r="G74" s="285"/>
      <c r="H74" s="285"/>
      <c r="I74" s="23"/>
      <c r="J74" s="23"/>
      <c r="K74" s="23"/>
    </row>
    <row r="76" spans="1:14" ht="14.4" customHeight="1" x14ac:dyDescent="0.3">
      <c r="A76" s="288" t="s">
        <v>83</v>
      </c>
      <c r="B76" s="288"/>
      <c r="C76" s="288"/>
      <c r="D76" s="288"/>
    </row>
    <row r="78" spans="1:14" ht="14.4" customHeight="1" x14ac:dyDescent="0.3">
      <c r="A78" s="281" t="s">
        <v>84</v>
      </c>
      <c r="B78" s="281"/>
      <c r="C78" s="281"/>
      <c r="D78" s="281"/>
      <c r="E78" s="281"/>
      <c r="F78" s="281"/>
      <c r="G78" s="281"/>
      <c r="I78" s="27"/>
      <c r="J78" s="27"/>
      <c r="K78" s="27"/>
    </row>
    <row r="79" spans="1:14" ht="14.4" customHeight="1" x14ac:dyDescent="0.3">
      <c r="A79" s="281"/>
      <c r="B79" s="281"/>
      <c r="C79" s="281"/>
      <c r="D79" s="281"/>
      <c r="E79" s="281"/>
      <c r="F79" s="281"/>
      <c r="G79" s="281"/>
      <c r="I79" s="287"/>
      <c r="J79" s="287"/>
      <c r="K79" s="287"/>
      <c r="L79" s="287"/>
      <c r="M79" s="287"/>
      <c r="N79" s="287"/>
    </row>
    <row r="80" spans="1:14" ht="16.8" x14ac:dyDescent="0.25">
      <c r="A80" s="63"/>
      <c r="B80" s="63"/>
      <c r="C80" s="63"/>
      <c r="D80" s="63"/>
      <c r="E80" s="63"/>
      <c r="F80" s="63"/>
      <c r="G80" s="63"/>
      <c r="I80" s="289" t="s">
        <v>131</v>
      </c>
      <c r="J80" s="289"/>
      <c r="K80" s="289"/>
      <c r="L80" s="289"/>
      <c r="M80" s="289"/>
      <c r="N80" s="289"/>
    </row>
    <row r="81" spans="1:14" ht="14.4" customHeight="1" x14ac:dyDescent="0.3">
      <c r="A81" s="281" t="s">
        <v>85</v>
      </c>
      <c r="B81" s="281"/>
      <c r="C81" s="281"/>
      <c r="D81" s="281"/>
      <c r="E81" s="281"/>
      <c r="F81" s="281"/>
      <c r="G81" s="281"/>
      <c r="I81" s="27"/>
      <c r="J81" s="27"/>
      <c r="K81" s="27"/>
    </row>
    <row r="82" spans="1:14" ht="14.4" customHeight="1" x14ac:dyDescent="0.3">
      <c r="A82" s="281"/>
      <c r="B82" s="281"/>
      <c r="C82" s="281"/>
      <c r="D82" s="281"/>
      <c r="E82" s="281"/>
      <c r="F82" s="281"/>
      <c r="G82" s="281"/>
      <c r="I82" s="287"/>
      <c r="J82" s="287"/>
      <c r="K82" s="287"/>
      <c r="L82" s="287"/>
      <c r="M82" s="287"/>
      <c r="N82" s="287"/>
    </row>
    <row r="83" spans="1:14" ht="16.8" x14ac:dyDescent="0.25">
      <c r="A83" s="63"/>
      <c r="B83" s="63"/>
      <c r="C83" s="63"/>
      <c r="D83" s="63"/>
      <c r="E83" s="63"/>
      <c r="F83" s="63"/>
      <c r="G83" s="63"/>
      <c r="I83" s="289" t="s">
        <v>131</v>
      </c>
      <c r="J83" s="289"/>
      <c r="K83" s="289"/>
      <c r="L83" s="289"/>
      <c r="M83" s="289"/>
      <c r="N83" s="289"/>
    </row>
    <row r="84" spans="1:14" ht="14.4" customHeight="1" x14ac:dyDescent="0.3">
      <c r="A84" s="282" t="s">
        <v>86</v>
      </c>
      <c r="B84" s="282"/>
      <c r="C84" s="282"/>
      <c r="D84" s="282"/>
      <c r="E84" s="282"/>
      <c r="F84" s="282"/>
      <c r="G84" s="282"/>
      <c r="I84" s="27"/>
      <c r="J84" s="27"/>
      <c r="K84" s="27"/>
    </row>
    <row r="85" spans="1:14" ht="14.4" customHeight="1" x14ac:dyDescent="0.3">
      <c r="A85" s="282"/>
      <c r="B85" s="282"/>
      <c r="C85" s="282"/>
      <c r="D85" s="282"/>
      <c r="E85" s="282"/>
      <c r="F85" s="282"/>
      <c r="G85" s="282"/>
      <c r="I85" s="287"/>
      <c r="J85" s="287"/>
      <c r="K85" s="287"/>
      <c r="L85" s="287"/>
      <c r="M85" s="287"/>
      <c r="N85" s="287"/>
    </row>
    <row r="86" spans="1:14" ht="16.8" x14ac:dyDescent="0.25">
      <c r="A86" s="63"/>
      <c r="B86" s="63"/>
      <c r="C86" s="63"/>
      <c r="D86" s="63"/>
      <c r="E86" s="63"/>
      <c r="F86" s="63"/>
      <c r="G86" s="63"/>
      <c r="I86" s="290" t="s">
        <v>131</v>
      </c>
      <c r="J86" s="290"/>
      <c r="K86" s="290"/>
      <c r="L86" s="290"/>
      <c r="M86" s="290"/>
      <c r="N86" s="290"/>
    </row>
    <row r="87" spans="1:14" ht="14.4" customHeight="1" x14ac:dyDescent="0.3">
      <c r="A87" s="281" t="s">
        <v>87</v>
      </c>
      <c r="B87" s="281"/>
      <c r="C87" s="281"/>
      <c r="D87" s="281"/>
      <c r="E87" s="281"/>
      <c r="F87" s="281"/>
      <c r="G87" s="281"/>
      <c r="I87" s="27"/>
      <c r="J87" s="27"/>
      <c r="K87" s="27"/>
    </row>
    <row r="88" spans="1:14" ht="14.4" customHeight="1" x14ac:dyDescent="0.3">
      <c r="A88" s="281"/>
      <c r="B88" s="281"/>
      <c r="C88" s="281"/>
      <c r="D88" s="281"/>
      <c r="E88" s="281"/>
      <c r="F88" s="281"/>
      <c r="G88" s="281"/>
      <c r="I88" s="287"/>
      <c r="J88" s="287"/>
      <c r="K88" s="287"/>
      <c r="L88" s="287"/>
      <c r="M88" s="287"/>
      <c r="N88" s="287"/>
    </row>
    <row r="89" spans="1:14" ht="16.8" x14ac:dyDescent="0.25">
      <c r="A89" s="63"/>
      <c r="B89" s="63"/>
      <c r="C89" s="63"/>
      <c r="D89" s="63"/>
      <c r="E89" s="63"/>
      <c r="F89" s="63"/>
      <c r="G89" s="63"/>
      <c r="I89" s="289" t="s">
        <v>131</v>
      </c>
      <c r="J89" s="289"/>
      <c r="K89" s="289"/>
      <c r="L89" s="289"/>
      <c r="M89" s="289"/>
      <c r="N89" s="289"/>
    </row>
    <row r="90" spans="1:14" ht="14.4" customHeight="1" x14ac:dyDescent="0.3">
      <c r="A90" s="281" t="s">
        <v>88</v>
      </c>
      <c r="B90" s="281"/>
      <c r="C90" s="281"/>
      <c r="D90" s="281"/>
      <c r="E90" s="281"/>
      <c r="F90" s="281"/>
      <c r="G90" s="281"/>
      <c r="I90" s="27"/>
      <c r="J90" s="27"/>
      <c r="K90" s="27"/>
    </row>
    <row r="91" spans="1:14" ht="14.4" customHeight="1" x14ac:dyDescent="0.3">
      <c r="A91" s="281"/>
      <c r="B91" s="281"/>
      <c r="C91" s="281"/>
      <c r="D91" s="281"/>
      <c r="E91" s="281"/>
      <c r="F91" s="281"/>
      <c r="G91" s="281"/>
      <c r="I91" s="287"/>
      <c r="J91" s="287"/>
      <c r="K91" s="287"/>
      <c r="L91" s="287"/>
      <c r="M91" s="287"/>
      <c r="N91" s="287"/>
    </row>
    <row r="92" spans="1:14" ht="16.8" x14ac:dyDescent="0.3">
      <c r="I92" s="289" t="s">
        <v>131</v>
      </c>
      <c r="J92" s="289"/>
      <c r="K92" s="289"/>
      <c r="L92" s="289"/>
      <c r="M92" s="289"/>
      <c r="N92" s="289"/>
    </row>
  </sheetData>
  <mergeCells count="105">
    <mergeCell ref="I92:N92"/>
    <mergeCell ref="I85:N85"/>
    <mergeCell ref="I80:N80"/>
    <mergeCell ref="I83:N83"/>
    <mergeCell ref="I82:N82"/>
    <mergeCell ref="I88:N88"/>
    <mergeCell ref="I91:N91"/>
    <mergeCell ref="I86:N86"/>
    <mergeCell ref="I89:N89"/>
    <mergeCell ref="A87:G88"/>
    <mergeCell ref="A90:G91"/>
    <mergeCell ref="A84:G85"/>
    <mergeCell ref="B65:D65"/>
    <mergeCell ref="E73:H73"/>
    <mergeCell ref="E74:H74"/>
    <mergeCell ref="E67:M67"/>
    <mergeCell ref="I73:L73"/>
    <mergeCell ref="E70:I70"/>
    <mergeCell ref="B67:D67"/>
    <mergeCell ref="A78:G79"/>
    <mergeCell ref="A81:G82"/>
    <mergeCell ref="I79:N79"/>
    <mergeCell ref="A70:D70"/>
    <mergeCell ref="A73:D73"/>
    <mergeCell ref="A76:D76"/>
    <mergeCell ref="E52:M52"/>
    <mergeCell ref="B52:D52"/>
    <mergeCell ref="E65:I65"/>
    <mergeCell ref="B63:F63"/>
    <mergeCell ref="B54:H54"/>
    <mergeCell ref="B55:H55"/>
    <mergeCell ref="B56:H56"/>
    <mergeCell ref="B57:H57"/>
    <mergeCell ref="I54:M54"/>
    <mergeCell ref="I55:M55"/>
    <mergeCell ref="I56:M56"/>
    <mergeCell ref="I57:M57"/>
    <mergeCell ref="K65:L65"/>
    <mergeCell ref="B59:C59"/>
    <mergeCell ref="D59:M59"/>
    <mergeCell ref="B62:E62"/>
    <mergeCell ref="E1:J1"/>
    <mergeCell ref="L1:N1"/>
    <mergeCell ref="L2:N2"/>
    <mergeCell ref="A1:D1"/>
    <mergeCell ref="G4:K4"/>
    <mergeCell ref="F14:M14"/>
    <mergeCell ref="F12:M12"/>
    <mergeCell ref="A8:G8"/>
    <mergeCell ref="H8:N8"/>
    <mergeCell ref="L4:N4"/>
    <mergeCell ref="A9:N9"/>
    <mergeCell ref="A10:N10"/>
    <mergeCell ref="D6:I6"/>
    <mergeCell ref="A6:C6"/>
    <mergeCell ref="C12:E12"/>
    <mergeCell ref="C14:E14"/>
    <mergeCell ref="K35:L35"/>
    <mergeCell ref="D44:M44"/>
    <mergeCell ref="D43:M43"/>
    <mergeCell ref="K41:L41"/>
    <mergeCell ref="B50:D50"/>
    <mergeCell ref="C24:D24"/>
    <mergeCell ref="C35:D35"/>
    <mergeCell ref="F35:J35"/>
    <mergeCell ref="J50:K50"/>
    <mergeCell ref="C30:E30"/>
    <mergeCell ref="B48:C48"/>
    <mergeCell ref="B43:C43"/>
    <mergeCell ref="B41:D41"/>
    <mergeCell ref="H30:J30"/>
    <mergeCell ref="K30:M30"/>
    <mergeCell ref="K31:M31"/>
    <mergeCell ref="E41:F41"/>
    <mergeCell ref="B39:D39"/>
    <mergeCell ref="H41:J41"/>
    <mergeCell ref="F30:G30"/>
    <mergeCell ref="F31:G31"/>
    <mergeCell ref="C31:E31"/>
    <mergeCell ref="K32:M32"/>
    <mergeCell ref="K24:L24"/>
    <mergeCell ref="C19:D19"/>
    <mergeCell ref="B17:D17"/>
    <mergeCell ref="A12:B12"/>
    <mergeCell ref="A14:B14"/>
    <mergeCell ref="E50:I50"/>
    <mergeCell ref="B28:I28"/>
    <mergeCell ref="F24:J24"/>
    <mergeCell ref="E19:F19"/>
    <mergeCell ref="G19:I19"/>
    <mergeCell ref="J19:M19"/>
    <mergeCell ref="J20:M20"/>
    <mergeCell ref="J22:M22"/>
    <mergeCell ref="E20:F20"/>
    <mergeCell ref="E22:F22"/>
    <mergeCell ref="C22:D22"/>
    <mergeCell ref="C20:D20"/>
    <mergeCell ref="C33:E33"/>
    <mergeCell ref="F33:G33"/>
    <mergeCell ref="K33:M33"/>
    <mergeCell ref="C21:D21"/>
    <mergeCell ref="E21:F21"/>
    <mergeCell ref="J21:M21"/>
    <mergeCell ref="C32:E32"/>
    <mergeCell ref="F32:G32"/>
  </mergeCells>
  <conditionalFormatting sqref="C12 C14">
    <cfRule type="expression" dxfId="97" priority="1">
      <formula>валюта_расчёта="USD"</formula>
    </cfRule>
    <cfRule type="expression" dxfId="96" priority="2">
      <formula>валюта_расчёта="EUR"</formula>
    </cfRule>
    <cfRule type="expression" dxfId="95" priority="3">
      <formula>валюта_расчёта="RUR"</formula>
    </cfRule>
  </conditionalFormatting>
  <dataValidations count="12">
    <dataValidation type="list" allowBlank="1" showInputMessage="1" showErrorMessage="1" sqref="I73:L73">
      <formula1>менеджеры</formula1>
    </dataValidation>
    <dataValidation type="list" allowBlank="1" showInputMessage="1" showErrorMessage="1" sqref="L50">
      <formula1>"44 ФЗ,223 ФЗ,ГК РФ"</formula1>
    </dataValidation>
    <dataValidation type="list" allowBlank="1" showInputMessage="1" showErrorMessage="1" sqref="E48 G63 I63:K63">
      <formula1>"да,нет"</formula1>
    </dataValidation>
    <dataValidation type="list" allowBlank="1" showInputMessage="1" showErrorMessage="1" sqref="E65">
      <formula1>"банковская гарантия,собственные средства"</formula1>
    </dataValidation>
    <dataValidation type="list" allowBlank="1" showInputMessage="1" showErrorMessage="1" sqref="E52:F52">
      <formula1>способы_проведения_тендеров</formula1>
    </dataValidation>
    <dataValidation type="list" allowBlank="1" showInputMessage="1" showErrorMessage="1" sqref="H20:H22 I31:I33">
      <formula1>"раб.,кал."</formula1>
    </dataValidation>
    <dataValidation type="list" allowBlank="1" showInputMessage="1" showErrorMessage="1" sqref="I20:I22 J31:J33">
      <formula1>"дн.,нед.,мес."</formula1>
    </dataValidation>
    <dataValidation type="list" allowBlank="1" showInputMessage="1" showErrorMessage="1" sqref="E1:J1">
      <formula1>"сделки,договора,приложения к договору"</formula1>
    </dataValidation>
    <dataValidation operator="greaterThanOrEqual" allowBlank="1" showInputMessage="1" showErrorMessage="1" sqref="E41:F41"/>
    <dataValidation type="list" allowBlank="1" showInputMessage="1" showErrorMessage="1" sqref="C20:C22">
      <formula1>"аванс,постоплата"</formula1>
    </dataValidation>
    <dataValidation type="whole" operator="greaterThanOrEqual" allowBlank="1" showInputMessage="1" showErrorMessage="1" sqref="G20:G22 H31:H33">
      <formula1>0</formula1>
    </dataValidation>
    <dataValidation type="decimal" allowBlank="1" showInputMessage="1" showErrorMessage="1" sqref="E20:F22 F31:G33">
      <formula1>0</formula1>
      <formula2>100</formula2>
    </dataValidation>
  </dataValidations>
  <pageMargins left="0.7" right="0.7" top="0.75" bottom="0.75" header="0.3" footer="0.3"/>
  <pageSetup paperSize="9" orientation="portrait" horizontalDpi="4294967295" verticalDpi="4294967295" r:id="rId1"/>
  <rowBreaks count="1" manualBreakCount="1">
    <brk id="45" max="1638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outlinePr summaryRight="0"/>
  </sheetPr>
  <dimension ref="A1:AB120"/>
  <sheetViews>
    <sheetView tabSelected="1" topLeftCell="B7" zoomScaleNormal="100" workbookViewId="0">
      <selection activeCell="G23" sqref="G23"/>
    </sheetView>
  </sheetViews>
  <sheetFormatPr defaultColWidth="9.109375" defaultRowHeight="13.2" outlineLevelCol="2" x14ac:dyDescent="0.25"/>
  <cols>
    <col min="1" max="1" width="8.109375" style="87" customWidth="1"/>
    <col min="2" max="2" width="18.44140625" style="87" bestFit="1" customWidth="1"/>
    <col min="3" max="3" width="24.5546875" style="87" customWidth="1"/>
    <col min="4" max="4" width="49.33203125" style="87" customWidth="1"/>
    <col min="5" max="5" width="9.5546875" style="87" customWidth="1"/>
    <col min="6" max="6" width="12.44140625" style="87" customWidth="1"/>
    <col min="7" max="8" width="17.44140625" style="87" customWidth="1"/>
    <col min="9" max="9" width="10.77734375" style="87" bestFit="1" customWidth="1"/>
    <col min="10" max="11" width="17.44140625" style="87" customWidth="1"/>
    <col min="12" max="12" width="11.109375" style="87" customWidth="1"/>
    <col min="13" max="13" width="13.77734375" style="171" customWidth="1" outlineLevel="1"/>
    <col min="14" max="14" width="14.44140625" style="87" customWidth="1" outlineLevel="1"/>
    <col min="15" max="15" width="42.109375" style="87" customWidth="1" outlineLevel="1" collapsed="1"/>
    <col min="16" max="16" width="13.109375" style="87" hidden="1" customWidth="1" outlineLevel="2"/>
    <col min="17" max="17" width="12.5546875" style="87" hidden="1" customWidth="1" outlineLevel="2"/>
    <col min="18" max="18" width="13.109375" style="87" hidden="1" customWidth="1" outlineLevel="2"/>
    <col min="19" max="19" width="11.44140625" style="87" hidden="1" customWidth="1" outlineLevel="2"/>
    <col min="20" max="20" width="9" style="172" customWidth="1"/>
    <col min="21" max="21" width="17.44140625" style="87" customWidth="1"/>
    <col min="22" max="22" width="9" style="87" customWidth="1"/>
    <col min="23" max="23" width="17.44140625" style="87" customWidth="1"/>
    <col min="24" max="24" width="11" style="87" customWidth="1"/>
    <col min="25" max="26" width="17.44140625" style="87" customWidth="1"/>
    <col min="27" max="28" width="10.5546875" style="87" customWidth="1"/>
    <col min="29" max="16384" width="9.109375" style="87"/>
  </cols>
  <sheetData>
    <row r="1" spans="1:28" s="89" customFormat="1" ht="13.8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8"/>
      <c r="N1" s="88"/>
      <c r="O1" s="87"/>
      <c r="T1" s="90"/>
      <c r="W1" s="91"/>
      <c r="X1" s="88"/>
    </row>
    <row r="2" spans="1:28" s="89" customFormat="1" x14ac:dyDescent="0.25">
      <c r="A2" s="297" t="s">
        <v>11</v>
      </c>
      <c r="B2" s="297"/>
      <c r="C2" s="297"/>
      <c r="D2" s="297"/>
      <c r="E2" s="297"/>
      <c r="F2" s="297"/>
      <c r="G2" s="297"/>
      <c r="H2" s="297"/>
      <c r="I2" s="297"/>
      <c r="J2" s="297"/>
      <c r="K2" s="297"/>
      <c r="L2" s="92"/>
      <c r="M2" s="93"/>
      <c r="N2" s="93"/>
      <c r="O2" s="87"/>
      <c r="T2" s="90"/>
      <c r="X2" s="93"/>
    </row>
    <row r="3" spans="1:28" s="89" customFormat="1" x14ac:dyDescent="0.25">
      <c r="D3" s="92"/>
      <c r="E3" s="92"/>
      <c r="O3" s="87"/>
      <c r="T3" s="90"/>
      <c r="X3" s="93"/>
    </row>
    <row r="4" spans="1:28" s="89" customFormat="1" ht="14.4" customHeight="1" x14ac:dyDescent="0.25">
      <c r="A4" s="293" t="s">
        <v>79</v>
      </c>
      <c r="B4" s="293"/>
      <c r="C4" s="94"/>
      <c r="D4" s="95" t="s">
        <v>68</v>
      </c>
      <c r="E4" s="96" t="s">
        <v>21</v>
      </c>
      <c r="G4" s="298" t="s">
        <v>19</v>
      </c>
      <c r="H4" s="298"/>
      <c r="O4" s="87"/>
      <c r="T4" s="90"/>
      <c r="X4" s="97"/>
    </row>
    <row r="5" spans="1:28" s="89" customFormat="1" ht="14.4" customHeight="1" x14ac:dyDescent="0.25">
      <c r="A5" s="293" t="s">
        <v>144</v>
      </c>
      <c r="B5" s="293"/>
      <c r="C5" s="98"/>
      <c r="D5" s="99" t="s">
        <v>69</v>
      </c>
      <c r="E5" s="96" t="s">
        <v>30</v>
      </c>
      <c r="G5" s="100" t="s">
        <v>0</v>
      </c>
      <c r="H5" s="101">
        <v>60</v>
      </c>
      <c r="O5" s="102"/>
      <c r="P5" s="103"/>
      <c r="Q5" s="103"/>
      <c r="R5" s="103"/>
      <c r="S5" s="103"/>
      <c r="T5" s="90"/>
      <c r="U5" s="103"/>
      <c r="V5" s="103"/>
      <c r="X5" s="97"/>
      <c r="Y5" s="103"/>
      <c r="Z5" s="103"/>
    </row>
    <row r="6" spans="1:28" s="89" customFormat="1" ht="14.4" customHeight="1" x14ac:dyDescent="0.25">
      <c r="A6" s="293" t="s">
        <v>145</v>
      </c>
      <c r="B6" s="293"/>
      <c r="C6" s="104"/>
      <c r="D6" s="99" t="s">
        <v>137</v>
      </c>
      <c r="E6" s="96" t="s">
        <v>70</v>
      </c>
      <c r="G6" s="100" t="s">
        <v>1</v>
      </c>
      <c r="H6" s="101">
        <v>72</v>
      </c>
      <c r="O6" s="87"/>
      <c r="T6" s="90"/>
      <c r="W6" s="91"/>
      <c r="X6" s="97"/>
    </row>
    <row r="7" spans="1:28" s="89" customFormat="1" ht="14.4" customHeight="1" x14ac:dyDescent="0.4">
      <c r="A7" s="105"/>
      <c r="B7" s="105"/>
      <c r="C7" s="90"/>
      <c r="D7" s="106" t="s">
        <v>140</v>
      </c>
      <c r="E7" s="107"/>
      <c r="N7" s="108"/>
      <c r="O7" s="87"/>
      <c r="T7" s="90"/>
      <c r="W7" s="91"/>
      <c r="X7" s="109"/>
    </row>
    <row r="8" spans="1:28" s="89" customFormat="1" ht="14.4" customHeight="1" x14ac:dyDescent="0.25">
      <c r="A8" s="293" t="s">
        <v>146</v>
      </c>
      <c r="B8" s="293"/>
      <c r="C8" s="110"/>
      <c r="D8" s="111" t="s">
        <v>141</v>
      </c>
      <c r="E8" s="112"/>
      <c r="G8" s="306" t="s">
        <v>195</v>
      </c>
      <c r="H8" s="306"/>
      <c r="T8" s="90"/>
      <c r="W8" s="91"/>
      <c r="X8" s="109"/>
    </row>
    <row r="9" spans="1:28" s="89" customFormat="1" ht="14.4" customHeight="1" x14ac:dyDescent="0.25">
      <c r="A9" s="293" t="s">
        <v>147</v>
      </c>
      <c r="B9" s="293"/>
      <c r="C9" s="110"/>
      <c r="D9" s="111" t="s">
        <v>142</v>
      </c>
      <c r="E9" s="113"/>
      <c r="G9" s="114" t="s">
        <v>0</v>
      </c>
      <c r="H9" s="115">
        <v>59.147599999999997</v>
      </c>
      <c r="T9" s="90"/>
      <c r="W9" s="91"/>
      <c r="X9" s="109"/>
    </row>
    <row r="10" spans="1:28" s="89" customFormat="1" ht="14.4" customHeight="1" x14ac:dyDescent="0.25">
      <c r="A10" s="293" t="s">
        <v>148</v>
      </c>
      <c r="B10" s="293"/>
      <c r="C10" s="116"/>
      <c r="D10" s="111" t="s">
        <v>143</v>
      </c>
      <c r="E10" s="117"/>
      <c r="G10" s="114" t="s">
        <v>1</v>
      </c>
      <c r="H10" s="115">
        <v>69.6995</v>
      </c>
      <c r="T10" s="90"/>
      <c r="W10" s="91"/>
      <c r="X10" s="109"/>
    </row>
    <row r="11" spans="1:28" s="89" customFormat="1" ht="13.8" x14ac:dyDescent="0.25">
      <c r="N11" s="108"/>
      <c r="O11" s="87"/>
      <c r="T11" s="90"/>
      <c r="W11" s="91"/>
      <c r="X11" s="109"/>
    </row>
    <row r="12" spans="1:28" s="118" customFormat="1" ht="12.75" customHeight="1" thickBot="1" x14ac:dyDescent="0.3">
      <c r="A12" s="296" t="s">
        <v>2</v>
      </c>
      <c r="B12" s="296" t="s">
        <v>3</v>
      </c>
      <c r="C12" s="299" t="s">
        <v>4</v>
      </c>
      <c r="D12" s="299" t="s">
        <v>5</v>
      </c>
      <c r="E12" s="296" t="s">
        <v>6</v>
      </c>
      <c r="F12" s="300" t="s">
        <v>179</v>
      </c>
      <c r="G12" s="302" t="str">
        <f>"Розничная цена "&amp;IF(включить_НДС&lt;&gt;INDEX(НДС,3),включить_НДС,"("&amp;включить_НДС&amp;")")&amp;"
интернет / GPL в "&amp;валюта_расчёта</f>
        <v>Розничная цена с НДС
интернет / GPL в USD</v>
      </c>
      <c r="H12" s="302"/>
      <c r="I12" s="304" t="s">
        <v>7</v>
      </c>
      <c r="J12" s="307" t="str">
        <f>"Вход "&amp;IF(включить_НДС&lt;&gt;INDEX(НДС,3),включить_НДС,"("&amp;включить_НДС&amp;")")&amp;", "&amp;валюта_расчёта</f>
        <v>Вход с НДС, USD</v>
      </c>
      <c r="K12" s="308"/>
      <c r="L12" s="309"/>
      <c r="M12" s="294" t="s">
        <v>139</v>
      </c>
      <c r="N12" s="296" t="s">
        <v>8</v>
      </c>
      <c r="O12" s="296" t="s">
        <v>9</v>
      </c>
      <c r="P12" s="291" t="s">
        <v>15</v>
      </c>
      <c r="Q12" s="291"/>
      <c r="R12" s="291" t="s">
        <v>215</v>
      </c>
      <c r="S12" s="291"/>
      <c r="T12" s="323" t="s">
        <v>22</v>
      </c>
      <c r="U12" s="323"/>
      <c r="V12" s="323"/>
      <c r="W12" s="323"/>
      <c r="X12" s="323"/>
      <c r="Y12" s="313" t="s">
        <v>23</v>
      </c>
      <c r="Z12" s="313"/>
      <c r="AB12" s="119"/>
    </row>
    <row r="13" spans="1:28" s="120" customFormat="1" ht="26.4" customHeight="1" thickBot="1" x14ac:dyDescent="0.3">
      <c r="A13" s="296"/>
      <c r="B13" s="296"/>
      <c r="C13" s="299"/>
      <c r="D13" s="299"/>
      <c r="E13" s="296"/>
      <c r="F13" s="300"/>
      <c r="G13" s="303"/>
      <c r="H13" s="303"/>
      <c r="I13" s="304"/>
      <c r="J13" s="310"/>
      <c r="K13" s="311"/>
      <c r="L13" s="312"/>
      <c r="M13" s="294"/>
      <c r="N13" s="296"/>
      <c r="O13" s="296"/>
      <c r="P13" s="291"/>
      <c r="Q13" s="291"/>
      <c r="R13" s="291"/>
      <c r="S13" s="292"/>
      <c r="T13" s="314" t="s">
        <v>24</v>
      </c>
      <c r="U13" s="316" t="s">
        <v>25</v>
      </c>
      <c r="V13" s="314" t="s">
        <v>26</v>
      </c>
      <c r="W13" s="318" t="s">
        <v>27</v>
      </c>
      <c r="X13" s="321" t="s">
        <v>149</v>
      </c>
      <c r="Y13" s="320" t="s">
        <v>25</v>
      </c>
      <c r="Z13" s="313" t="s">
        <v>27</v>
      </c>
    </row>
    <row r="14" spans="1:28" s="120" customFormat="1" x14ac:dyDescent="0.25">
      <c r="A14" s="296"/>
      <c r="B14" s="296"/>
      <c r="C14" s="299"/>
      <c r="D14" s="299"/>
      <c r="E14" s="296"/>
      <c r="F14" s="301"/>
      <c r="G14" s="121" t="s">
        <v>28</v>
      </c>
      <c r="H14" s="122" t="s">
        <v>23</v>
      </c>
      <c r="I14" s="305"/>
      <c r="J14" s="121" t="s">
        <v>28</v>
      </c>
      <c r="K14" s="123" t="s">
        <v>23</v>
      </c>
      <c r="L14" s="122" t="s">
        <v>34</v>
      </c>
      <c r="M14" s="295"/>
      <c r="N14" s="296"/>
      <c r="O14" s="296"/>
      <c r="P14" s="124" t="s">
        <v>16</v>
      </c>
      <c r="Q14" s="124" t="s">
        <v>17</v>
      </c>
      <c r="R14" s="124" t="s">
        <v>16</v>
      </c>
      <c r="S14" s="125" t="s">
        <v>17</v>
      </c>
      <c r="T14" s="315"/>
      <c r="U14" s="317"/>
      <c r="V14" s="315"/>
      <c r="W14" s="319"/>
      <c r="X14" s="322"/>
      <c r="Y14" s="320"/>
      <c r="Z14" s="313"/>
    </row>
    <row r="15" spans="1:28" s="131" customFormat="1" ht="10.95" customHeight="1" x14ac:dyDescent="0.3">
      <c r="A15" s="126" t="s">
        <v>45</v>
      </c>
      <c r="B15" s="126" t="s">
        <v>44</v>
      </c>
      <c r="C15" s="126" t="s">
        <v>43</v>
      </c>
      <c r="D15" s="126" t="s">
        <v>53</v>
      </c>
      <c r="E15" s="126" t="s">
        <v>46</v>
      </c>
      <c r="F15" s="127" t="s">
        <v>47</v>
      </c>
      <c r="G15" s="189" t="s">
        <v>48</v>
      </c>
      <c r="H15" s="191" t="s">
        <v>49</v>
      </c>
      <c r="I15" s="128" t="s">
        <v>50</v>
      </c>
      <c r="J15" s="189" t="s">
        <v>51</v>
      </c>
      <c r="K15" s="129" t="s">
        <v>52</v>
      </c>
      <c r="L15" s="191" t="s">
        <v>210</v>
      </c>
      <c r="M15" s="130" t="s">
        <v>196</v>
      </c>
      <c r="N15" s="126" t="s">
        <v>197</v>
      </c>
      <c r="O15" s="126" t="s">
        <v>198</v>
      </c>
      <c r="P15" s="126" t="s">
        <v>199</v>
      </c>
      <c r="Q15" s="126" t="s">
        <v>200</v>
      </c>
      <c r="R15" s="126" t="s">
        <v>201</v>
      </c>
      <c r="S15" s="127" t="s">
        <v>202</v>
      </c>
      <c r="T15" s="189" t="s">
        <v>203</v>
      </c>
      <c r="U15" s="195" t="s">
        <v>204</v>
      </c>
      <c r="V15" s="189" t="s">
        <v>205</v>
      </c>
      <c r="W15" s="129" t="s">
        <v>206</v>
      </c>
      <c r="X15" s="191" t="s">
        <v>207</v>
      </c>
      <c r="Y15" s="192" t="s">
        <v>208</v>
      </c>
      <c r="Z15" s="126" t="s">
        <v>209</v>
      </c>
    </row>
    <row r="16" spans="1:28" x14ac:dyDescent="0.25">
      <c r="A16" s="132" t="s">
        <v>217</v>
      </c>
      <c r="B16" s="133"/>
      <c r="C16" s="146"/>
      <c r="D16" s="147" t="s">
        <v>224</v>
      </c>
      <c r="E16" s="148"/>
      <c r="F16" s="134"/>
      <c r="G16" s="224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6" s="222">
        <f t="shared" ref="H16:H23" si="0">E16*G16</f>
        <v>0</v>
      </c>
      <c r="I16" s="149" t="str">
        <f t="shared" ref="I16:I23" si="1">IFERROR((G16-J16)/G16,"")</f>
        <v/>
      </c>
      <c r="J16" s="17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16" s="190">
        <f>Расчёт[[#This Row],[5
Кол-во]]*Расчёт[[#This Row],[10
Цена Вход]]</f>
        <v>0</v>
      </c>
      <c r="L16" s="174" t="s">
        <v>30</v>
      </c>
      <c r="M16" s="150"/>
      <c r="N16" s="137"/>
      <c r="O16" s="138"/>
      <c r="P16" s="139"/>
      <c r="Q16" s="140">
        <f>Расчёт[[#This Row],[5
Кол-во]]*Расчёт[[#This Row],[16
Вес]]</f>
        <v>0</v>
      </c>
      <c r="R16" s="139"/>
      <c r="S16" s="141">
        <f>Расчёт[[#This Row],[5
Кол-во]]*Расчёт[[#This Row],[18
Объём]]</f>
        <v>0</v>
      </c>
      <c r="T16" s="226" t="s">
        <v>21</v>
      </c>
      <c r="U16" s="223">
        <v>0</v>
      </c>
      <c r="V16" s="220" t="s">
        <v>21</v>
      </c>
      <c r="W16" s="188">
        <v>0</v>
      </c>
      <c r="X16" s="221" t="s">
        <v>30</v>
      </c>
      <c r="Y16" s="152">
        <f>Расчёт[[#This Row],[5
Кол-во]]*Расчёт[[#This Row],[21
Цена GPL]]</f>
        <v>0</v>
      </c>
      <c r="Z16" s="145">
        <f>Расчёт[[#This Row],[5
Кол-во]]*Расчёт[[#This Row],[23
Цена Вход]]</f>
        <v>0</v>
      </c>
    </row>
    <row r="17" spans="1:26" x14ac:dyDescent="0.25">
      <c r="A17" s="132" t="s">
        <v>568</v>
      </c>
      <c r="B17" s="133" t="s">
        <v>226</v>
      </c>
      <c r="C17" s="146" t="s">
        <v>227</v>
      </c>
      <c r="D17" s="147" t="s">
        <v>228</v>
      </c>
      <c r="E17" s="148">
        <v>1</v>
      </c>
      <c r="F17" s="134" t="s">
        <v>29</v>
      </c>
      <c r="G17" s="224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8760</v>
      </c>
      <c r="H17" s="222">
        <f t="shared" si="0"/>
        <v>8760</v>
      </c>
      <c r="I17" s="149">
        <f t="shared" si="1"/>
        <v>0.27399999999999997</v>
      </c>
      <c r="J17" s="17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6359.76</v>
      </c>
      <c r="K17" s="190">
        <f>Расчёт[[#This Row],[5
Кол-во]]*Расчёт[[#This Row],[10
Цена Вход]]</f>
        <v>6359.76</v>
      </c>
      <c r="L17" s="174" t="s">
        <v>30</v>
      </c>
      <c r="M17" s="150"/>
      <c r="N17" s="137"/>
      <c r="O17" s="138"/>
      <c r="P17" s="139"/>
      <c r="Q17" s="140">
        <f>Расчёт[[#This Row],[5
Кол-во]]*Расчёт[[#This Row],[16
Вес]]</f>
        <v>0</v>
      </c>
      <c r="R17" s="139"/>
      <c r="S17" s="141">
        <f>Расчёт[[#This Row],[5
Кол-во]]*Расчёт[[#This Row],[18
Объём]]</f>
        <v>0</v>
      </c>
      <c r="T17" s="226" t="s">
        <v>21</v>
      </c>
      <c r="U17" s="223">
        <v>8760</v>
      </c>
      <c r="V17" s="220" t="s">
        <v>21</v>
      </c>
      <c r="W17" s="188">
        <v>6359.76</v>
      </c>
      <c r="X17" s="221" t="s">
        <v>30</v>
      </c>
      <c r="Y17" s="152">
        <f>Расчёт[[#This Row],[5
Кол-во]]*Расчёт[[#This Row],[21
Цена GPL]]</f>
        <v>8760</v>
      </c>
      <c r="Z17" s="145">
        <f>Расчёт[[#This Row],[5
Кол-во]]*Расчёт[[#This Row],[23
Цена Вход]]</f>
        <v>6359.76</v>
      </c>
    </row>
    <row r="18" spans="1:26" x14ac:dyDescent="0.25">
      <c r="A18" s="132" t="s">
        <v>569</v>
      </c>
      <c r="B18" s="133" t="s">
        <v>226</v>
      </c>
      <c r="C18" s="146" t="s">
        <v>229</v>
      </c>
      <c r="D18" s="147" t="s">
        <v>230</v>
      </c>
      <c r="E18" s="148">
        <v>12</v>
      </c>
      <c r="F18" s="134" t="s">
        <v>29</v>
      </c>
      <c r="G18" s="224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701</v>
      </c>
      <c r="H18" s="222">
        <f t="shared" si="0"/>
        <v>8412</v>
      </c>
      <c r="I18" s="149">
        <f t="shared" si="1"/>
        <v>0.27400000000000008</v>
      </c>
      <c r="J18" s="17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508.92599999999993</v>
      </c>
      <c r="K18" s="190">
        <f>Расчёт[[#This Row],[5
Кол-во]]*Расчёт[[#This Row],[10
Цена Вход]]</f>
        <v>6107.1119999999992</v>
      </c>
      <c r="L18" s="174" t="s">
        <v>30</v>
      </c>
      <c r="M18" s="150"/>
      <c r="N18" s="137"/>
      <c r="O18" s="138"/>
      <c r="P18" s="139"/>
      <c r="Q18" s="140">
        <f>Расчёт[[#This Row],[5
Кол-во]]*Расчёт[[#This Row],[16
Вес]]</f>
        <v>0</v>
      </c>
      <c r="R18" s="139"/>
      <c r="S18" s="141">
        <f>Расчёт[[#This Row],[5
Кол-во]]*Расчёт[[#This Row],[18
Объём]]</f>
        <v>0</v>
      </c>
      <c r="T18" s="226" t="s">
        <v>21</v>
      </c>
      <c r="U18" s="223">
        <v>701</v>
      </c>
      <c r="V18" s="220" t="s">
        <v>21</v>
      </c>
      <c r="W18" s="188">
        <v>508.92599999999993</v>
      </c>
      <c r="X18" s="221" t="s">
        <v>30</v>
      </c>
      <c r="Y18" s="152">
        <f>Расчёт[[#This Row],[5
Кол-во]]*Расчёт[[#This Row],[21
Цена GPL]]</f>
        <v>8412</v>
      </c>
      <c r="Z18" s="145">
        <f>Расчёт[[#This Row],[5
Кол-во]]*Расчёт[[#This Row],[23
Цена Вход]]</f>
        <v>6107.1119999999992</v>
      </c>
    </row>
    <row r="19" spans="1:26" x14ac:dyDescent="0.25">
      <c r="A19" s="132" t="s">
        <v>570</v>
      </c>
      <c r="B19" s="133" t="s">
        <v>226</v>
      </c>
      <c r="C19" s="146" t="s">
        <v>231</v>
      </c>
      <c r="D19" s="147" t="s">
        <v>232</v>
      </c>
      <c r="E19" s="148">
        <v>12</v>
      </c>
      <c r="F19" s="134" t="s">
        <v>29</v>
      </c>
      <c r="G19" s="225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9" s="136">
        <f t="shared" si="0"/>
        <v>0</v>
      </c>
      <c r="I19" s="149" t="str">
        <f t="shared" si="1"/>
        <v/>
      </c>
      <c r="J19" s="13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19" s="190">
        <f>Расчёт[[#This Row],[5
Кол-во]]*Расчёт[[#This Row],[10
Цена Вход]]</f>
        <v>0</v>
      </c>
      <c r="L19" s="86" t="s">
        <v>30</v>
      </c>
      <c r="M19" s="150"/>
      <c r="N19" s="137"/>
      <c r="O19" s="138"/>
      <c r="P19" s="139"/>
      <c r="Q19" s="140">
        <f>Расчёт[[#This Row],[5
Кол-во]]*Расчёт[[#This Row],[16
Вес]]</f>
        <v>0</v>
      </c>
      <c r="R19" s="139"/>
      <c r="S19" s="141">
        <f>Расчёт[[#This Row],[5
Кол-во]]*Расчёт[[#This Row],[18
Объём]]</f>
        <v>0</v>
      </c>
      <c r="T19" s="227" t="s">
        <v>21</v>
      </c>
      <c r="U19" s="142">
        <v>0</v>
      </c>
      <c r="V19" s="194" t="s">
        <v>21</v>
      </c>
      <c r="W19" s="188">
        <v>0</v>
      </c>
      <c r="X19" s="143" t="s">
        <v>30</v>
      </c>
      <c r="Y19" s="144">
        <f>Расчёт[[#This Row],[5
Кол-во]]*Расчёт[[#This Row],[21
Цена GPL]]</f>
        <v>0</v>
      </c>
      <c r="Z19" s="145">
        <f>Расчёт[[#This Row],[5
Кол-во]]*Расчёт[[#This Row],[23
Цена Вход]]</f>
        <v>0</v>
      </c>
    </row>
    <row r="20" spans="1:26" x14ac:dyDescent="0.25">
      <c r="A20" s="132" t="s">
        <v>571</v>
      </c>
      <c r="B20" s="133" t="s">
        <v>226</v>
      </c>
      <c r="C20" s="146" t="s">
        <v>233</v>
      </c>
      <c r="D20" s="147" t="s">
        <v>234</v>
      </c>
      <c r="E20" s="148">
        <v>1</v>
      </c>
      <c r="F20" s="134" t="s">
        <v>29</v>
      </c>
      <c r="G20" s="225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1395</v>
      </c>
      <c r="H20" s="136">
        <f t="shared" si="0"/>
        <v>1395</v>
      </c>
      <c r="I20" s="149">
        <f t="shared" si="1"/>
        <v>0.27400000000000002</v>
      </c>
      <c r="J20" s="13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1012.77</v>
      </c>
      <c r="K20" s="190">
        <f>Расчёт[[#This Row],[5
Кол-во]]*Расчёт[[#This Row],[10
Цена Вход]]</f>
        <v>1012.77</v>
      </c>
      <c r="L20" s="86" t="s">
        <v>30</v>
      </c>
      <c r="M20" s="150"/>
      <c r="N20" s="137"/>
      <c r="O20" s="138"/>
      <c r="P20" s="139"/>
      <c r="Q20" s="140">
        <f>Расчёт[[#This Row],[5
Кол-во]]*Расчёт[[#This Row],[16
Вес]]</f>
        <v>0</v>
      </c>
      <c r="R20" s="139"/>
      <c r="S20" s="141">
        <f>Расчёт[[#This Row],[5
Кол-во]]*Расчёт[[#This Row],[18
Объём]]</f>
        <v>0</v>
      </c>
      <c r="T20" s="227" t="s">
        <v>21</v>
      </c>
      <c r="U20" s="142">
        <v>1395</v>
      </c>
      <c r="V20" s="194" t="s">
        <v>21</v>
      </c>
      <c r="W20" s="188">
        <v>1012.77</v>
      </c>
      <c r="X20" s="143" t="s">
        <v>30</v>
      </c>
      <c r="Y20" s="144">
        <f>Расчёт[[#This Row],[5
Кол-во]]*Расчёт[[#This Row],[21
Цена GPL]]</f>
        <v>1395</v>
      </c>
      <c r="Z20" s="145">
        <f>Расчёт[[#This Row],[5
Кол-во]]*Расчёт[[#This Row],[23
Цена Вход]]</f>
        <v>1012.77</v>
      </c>
    </row>
    <row r="21" spans="1:26" x14ac:dyDescent="0.25">
      <c r="A21" s="132" t="s">
        <v>572</v>
      </c>
      <c r="B21" s="133" t="s">
        <v>226</v>
      </c>
      <c r="C21" s="146" t="s">
        <v>235</v>
      </c>
      <c r="D21" s="147" t="s">
        <v>232</v>
      </c>
      <c r="E21" s="148">
        <v>1</v>
      </c>
      <c r="F21" s="134" t="s">
        <v>29</v>
      </c>
      <c r="G21" s="225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1" s="136">
        <f t="shared" si="0"/>
        <v>0</v>
      </c>
      <c r="I21" s="149" t="str">
        <f t="shared" si="1"/>
        <v/>
      </c>
      <c r="J21" s="13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21" s="190">
        <f>Расчёт[[#This Row],[5
Кол-во]]*Расчёт[[#This Row],[10
Цена Вход]]</f>
        <v>0</v>
      </c>
      <c r="L21" s="86" t="s">
        <v>30</v>
      </c>
      <c r="M21" s="150"/>
      <c r="N21" s="137"/>
      <c r="O21" s="138"/>
      <c r="P21" s="139"/>
      <c r="Q21" s="140">
        <f>Расчёт[[#This Row],[5
Кол-во]]*Расчёт[[#This Row],[16
Вес]]</f>
        <v>0</v>
      </c>
      <c r="R21" s="139"/>
      <c r="S21" s="141">
        <f>Расчёт[[#This Row],[5
Кол-во]]*Расчёт[[#This Row],[18
Объём]]</f>
        <v>0</v>
      </c>
      <c r="T21" s="227" t="s">
        <v>21</v>
      </c>
      <c r="U21" s="142">
        <v>0</v>
      </c>
      <c r="V21" s="194" t="s">
        <v>21</v>
      </c>
      <c r="W21" s="188">
        <v>0</v>
      </c>
      <c r="X21" s="143" t="s">
        <v>30</v>
      </c>
      <c r="Y21" s="144">
        <f>Расчёт[[#This Row],[5
Кол-во]]*Расчёт[[#This Row],[21
Цена GPL]]</f>
        <v>0</v>
      </c>
      <c r="Z21" s="145">
        <f>Расчёт[[#This Row],[5
Кол-во]]*Расчёт[[#This Row],[23
Цена Вход]]</f>
        <v>0</v>
      </c>
    </row>
    <row r="22" spans="1:26" x14ac:dyDescent="0.25">
      <c r="A22" s="132" t="s">
        <v>573</v>
      </c>
      <c r="B22" s="133" t="s">
        <v>226</v>
      </c>
      <c r="C22" s="146" t="s">
        <v>236</v>
      </c>
      <c r="D22" s="147" t="s">
        <v>237</v>
      </c>
      <c r="E22" s="148">
        <v>1</v>
      </c>
      <c r="F22" s="134" t="s">
        <v>29</v>
      </c>
      <c r="G22" s="225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2" s="136">
        <f t="shared" si="0"/>
        <v>0</v>
      </c>
      <c r="I22" s="149" t="str">
        <f t="shared" si="1"/>
        <v/>
      </c>
      <c r="J22" s="13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22" s="190">
        <f>Расчёт[[#This Row],[5
Кол-во]]*Расчёт[[#This Row],[10
Цена Вход]]</f>
        <v>0</v>
      </c>
      <c r="L22" s="86" t="s">
        <v>30</v>
      </c>
      <c r="M22" s="150"/>
      <c r="N22" s="137"/>
      <c r="O22" s="138"/>
      <c r="P22" s="139"/>
      <c r="Q22" s="140">
        <f>Расчёт[[#This Row],[5
Кол-во]]*Расчёт[[#This Row],[16
Вес]]</f>
        <v>0</v>
      </c>
      <c r="R22" s="139"/>
      <c r="S22" s="141">
        <f>Расчёт[[#This Row],[5
Кол-во]]*Расчёт[[#This Row],[18
Объём]]</f>
        <v>0</v>
      </c>
      <c r="T22" s="227" t="s">
        <v>21</v>
      </c>
      <c r="U22" s="142">
        <v>0</v>
      </c>
      <c r="V22" s="194" t="s">
        <v>21</v>
      </c>
      <c r="W22" s="188">
        <v>0</v>
      </c>
      <c r="X22" s="143" t="s">
        <v>30</v>
      </c>
      <c r="Y22" s="144">
        <f>Расчёт[[#This Row],[5
Кол-во]]*Расчёт[[#This Row],[21
Цена GPL]]</f>
        <v>0</v>
      </c>
      <c r="Z22" s="145">
        <f>Расчёт[[#This Row],[5
Кол-во]]*Расчёт[[#This Row],[23
Цена Вход]]</f>
        <v>0</v>
      </c>
    </row>
    <row r="23" spans="1:26" x14ac:dyDescent="0.25">
      <c r="A23" s="132" t="s">
        <v>574</v>
      </c>
      <c r="B23" s="133" t="s">
        <v>226</v>
      </c>
      <c r="C23" s="146" t="s">
        <v>238</v>
      </c>
      <c r="D23" s="147" t="s">
        <v>239</v>
      </c>
      <c r="E23" s="148">
        <v>1</v>
      </c>
      <c r="F23" s="134" t="s">
        <v>29</v>
      </c>
      <c r="G23" s="225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3307</v>
      </c>
      <c r="H23" s="136">
        <f t="shared" si="0"/>
        <v>3307</v>
      </c>
      <c r="I23" s="149">
        <f t="shared" si="1"/>
        <v>0.27400000000000013</v>
      </c>
      <c r="J23" s="135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2400.8819999999996</v>
      </c>
      <c r="K23" s="190">
        <f>Расчёт[[#This Row],[5
Кол-во]]*Расчёт[[#This Row],[10
Цена Вход]]</f>
        <v>2400.8819999999996</v>
      </c>
      <c r="L23" s="86" t="s">
        <v>30</v>
      </c>
      <c r="M23" s="150"/>
      <c r="N23" s="137"/>
      <c r="O23" s="138"/>
      <c r="P23" s="139"/>
      <c r="Q23" s="140">
        <f>Расчёт[[#This Row],[5
Кол-во]]*Расчёт[[#This Row],[16
Вес]]</f>
        <v>0</v>
      </c>
      <c r="R23" s="139"/>
      <c r="S23" s="141">
        <f>Расчёт[[#This Row],[5
Кол-во]]*Расчёт[[#This Row],[18
Объём]]</f>
        <v>0</v>
      </c>
      <c r="T23" s="227" t="s">
        <v>21</v>
      </c>
      <c r="U23" s="142">
        <v>3307</v>
      </c>
      <c r="V23" s="194" t="s">
        <v>21</v>
      </c>
      <c r="W23" s="188">
        <v>2400.8819999999996</v>
      </c>
      <c r="X23" s="143" t="s">
        <v>30</v>
      </c>
      <c r="Y23" s="144">
        <f>Расчёт[[#This Row],[5
Кол-во]]*Расчёт[[#This Row],[21
Цена GPL]]</f>
        <v>3307</v>
      </c>
      <c r="Z23" s="145">
        <f>Расчёт[[#This Row],[5
Кол-во]]*Расчёт[[#This Row],[23
Цена Вход]]</f>
        <v>2400.8819999999996</v>
      </c>
    </row>
    <row r="24" spans="1:26" ht="26.4" x14ac:dyDescent="0.25">
      <c r="A24" s="199" t="s">
        <v>218</v>
      </c>
      <c r="B24" s="200"/>
      <c r="C24" s="201"/>
      <c r="D24" s="202" t="s">
        <v>240</v>
      </c>
      <c r="E24" s="203"/>
      <c r="F24" s="204"/>
      <c r="G2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4" s="196">
        <f t="shared" ref="H24:H28" si="2">E24*G24</f>
        <v>0</v>
      </c>
      <c r="I24" s="153" t="str">
        <f t="shared" ref="I24:I28" si="3">IFERROR((G24-J24)/G24,"")</f>
        <v/>
      </c>
      <c r="J2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24" s="231">
        <f>Расчёт[[#This Row],[5
Кол-во]]*Расчёт[[#This Row],[10
Цена Вход]]</f>
        <v>0</v>
      </c>
      <c r="L24" s="213" t="s">
        <v>30</v>
      </c>
      <c r="M24" s="205"/>
      <c r="N24" s="206"/>
      <c r="O24" s="207"/>
      <c r="P24" s="208"/>
      <c r="Q24" s="209">
        <f>Расчёт[[#This Row],[5
Кол-во]]*Расчёт[[#This Row],[16
Вес]]</f>
        <v>0</v>
      </c>
      <c r="R24" s="208"/>
      <c r="S24" s="209">
        <f>Расчёт[[#This Row],[5
Кол-во]]*Расчёт[[#This Row],[18
Объём]]</f>
        <v>0</v>
      </c>
      <c r="T24" s="212" t="s">
        <v>21</v>
      </c>
      <c r="U24" s="197">
        <v>0</v>
      </c>
      <c r="V24" s="210" t="s">
        <v>21</v>
      </c>
      <c r="W24" s="219">
        <v>0</v>
      </c>
      <c r="X24" s="198" t="s">
        <v>30</v>
      </c>
      <c r="Y24" s="211">
        <f>Расчёт[[#This Row],[5
Кол-во]]*Расчёт[[#This Row],[21
Цена GPL]]</f>
        <v>0</v>
      </c>
      <c r="Z24" s="211">
        <f>Расчёт[[#This Row],[5
Кол-во]]*Расчёт[[#This Row],[23
Цена Вход]]</f>
        <v>0</v>
      </c>
    </row>
    <row r="25" spans="1:26" x14ac:dyDescent="0.25">
      <c r="A25" s="199" t="s">
        <v>241</v>
      </c>
      <c r="B25" s="200" t="s">
        <v>226</v>
      </c>
      <c r="C25" s="201" t="s">
        <v>242</v>
      </c>
      <c r="D25" s="202" t="s">
        <v>243</v>
      </c>
      <c r="E25" s="203">
        <v>2</v>
      </c>
      <c r="F25" s="204" t="s">
        <v>29</v>
      </c>
      <c r="G2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2480</v>
      </c>
      <c r="H25" s="196">
        <f t="shared" si="2"/>
        <v>4960</v>
      </c>
      <c r="I25" s="153">
        <f t="shared" si="3"/>
        <v>0.27399999999999997</v>
      </c>
      <c r="J2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1800.48</v>
      </c>
      <c r="K25" s="231">
        <f>Расчёт[[#This Row],[5
Кол-во]]*Расчёт[[#This Row],[10
Цена Вход]]</f>
        <v>3600.96</v>
      </c>
      <c r="L25" s="213" t="s">
        <v>30</v>
      </c>
      <c r="M25" s="205"/>
      <c r="N25" s="206"/>
      <c r="O25" s="207"/>
      <c r="P25" s="208"/>
      <c r="Q25" s="209">
        <f>Расчёт[[#This Row],[5
Кол-во]]*Расчёт[[#This Row],[16
Вес]]</f>
        <v>0</v>
      </c>
      <c r="R25" s="208"/>
      <c r="S25" s="209">
        <f>Расчёт[[#This Row],[5
Кол-во]]*Расчёт[[#This Row],[18
Объём]]</f>
        <v>0</v>
      </c>
      <c r="T25" s="212" t="s">
        <v>21</v>
      </c>
      <c r="U25" s="197">
        <v>2480</v>
      </c>
      <c r="V25" s="210" t="s">
        <v>21</v>
      </c>
      <c r="W25" s="219">
        <v>1800.48</v>
      </c>
      <c r="X25" s="198" t="s">
        <v>30</v>
      </c>
      <c r="Y25" s="211">
        <f>Расчёт[[#This Row],[5
Кол-во]]*Расчёт[[#This Row],[21
Цена GPL]]</f>
        <v>4960</v>
      </c>
      <c r="Z25" s="211">
        <f>Расчёт[[#This Row],[5
Кол-во]]*Расчёт[[#This Row],[23
Цена Вход]]</f>
        <v>3600.96</v>
      </c>
    </row>
    <row r="26" spans="1:26" x14ac:dyDescent="0.25">
      <c r="A26" s="199"/>
      <c r="B26" s="200" t="s">
        <v>226</v>
      </c>
      <c r="C26" s="201" t="s">
        <v>244</v>
      </c>
      <c r="D26" s="202" t="s">
        <v>245</v>
      </c>
      <c r="E26" s="203">
        <v>2</v>
      </c>
      <c r="F26" s="204" t="s">
        <v>29</v>
      </c>
      <c r="G2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6" s="196">
        <f t="shared" si="2"/>
        <v>0</v>
      </c>
      <c r="I26" s="153" t="str">
        <f t="shared" si="3"/>
        <v/>
      </c>
      <c r="J2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26" s="231">
        <f>Расчёт[[#This Row],[5
Кол-во]]*Расчёт[[#This Row],[10
Цена Вход]]</f>
        <v>0</v>
      </c>
      <c r="L26" s="213" t="s">
        <v>30</v>
      </c>
      <c r="M26" s="205"/>
      <c r="N26" s="206"/>
      <c r="O26" s="207"/>
      <c r="P26" s="208"/>
      <c r="Q26" s="209">
        <f>Расчёт[[#This Row],[5
Кол-во]]*Расчёт[[#This Row],[16
Вес]]</f>
        <v>0</v>
      </c>
      <c r="R26" s="208"/>
      <c r="S26" s="209">
        <f>Расчёт[[#This Row],[5
Кол-во]]*Расчёт[[#This Row],[18
Объём]]</f>
        <v>0</v>
      </c>
      <c r="T26" s="212" t="s">
        <v>21</v>
      </c>
      <c r="U26" s="197">
        <v>0</v>
      </c>
      <c r="V26" s="210" t="s">
        <v>21</v>
      </c>
      <c r="W26" s="219">
        <v>0</v>
      </c>
      <c r="X26" s="198" t="s">
        <v>30</v>
      </c>
      <c r="Y26" s="211">
        <f>Расчёт[[#This Row],[5
Кол-во]]*Расчёт[[#This Row],[21
Цена GPL]]</f>
        <v>0</v>
      </c>
      <c r="Z26" s="211">
        <f>Расчёт[[#This Row],[5
Кол-во]]*Расчёт[[#This Row],[23
Цена Вход]]</f>
        <v>0</v>
      </c>
    </row>
    <row r="27" spans="1:26" x14ac:dyDescent="0.25">
      <c r="A27" s="199" t="s">
        <v>246</v>
      </c>
      <c r="B27" s="200" t="s">
        <v>226</v>
      </c>
      <c r="C27" s="201" t="s">
        <v>247</v>
      </c>
      <c r="D27" s="202" t="s">
        <v>248</v>
      </c>
      <c r="E27" s="203">
        <v>2</v>
      </c>
      <c r="F27" s="204" t="s">
        <v>29</v>
      </c>
      <c r="G2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1805</v>
      </c>
      <c r="H27" s="196">
        <f t="shared" si="2"/>
        <v>3610</v>
      </c>
      <c r="I27" s="153">
        <f t="shared" si="3"/>
        <v>0.27399999999999997</v>
      </c>
      <c r="J2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1310.43</v>
      </c>
      <c r="K27" s="231">
        <f>Расчёт[[#This Row],[5
Кол-во]]*Расчёт[[#This Row],[10
Цена Вход]]</f>
        <v>2620.86</v>
      </c>
      <c r="L27" s="213" t="s">
        <v>30</v>
      </c>
      <c r="M27" s="205"/>
      <c r="N27" s="206"/>
      <c r="O27" s="207"/>
      <c r="P27" s="208"/>
      <c r="Q27" s="209">
        <f>Расчёт[[#This Row],[5
Кол-во]]*Расчёт[[#This Row],[16
Вес]]</f>
        <v>0</v>
      </c>
      <c r="R27" s="208"/>
      <c r="S27" s="209">
        <f>Расчёт[[#This Row],[5
Кол-во]]*Расчёт[[#This Row],[18
Объём]]</f>
        <v>0</v>
      </c>
      <c r="T27" s="212" t="s">
        <v>21</v>
      </c>
      <c r="U27" s="197">
        <v>1805</v>
      </c>
      <c r="V27" s="210" t="s">
        <v>21</v>
      </c>
      <c r="W27" s="219">
        <v>1310.43</v>
      </c>
      <c r="X27" s="198" t="s">
        <v>30</v>
      </c>
      <c r="Y27" s="211">
        <f>Расчёт[[#This Row],[5
Кол-во]]*Расчёт[[#This Row],[21
Цена GPL]]</f>
        <v>3610</v>
      </c>
      <c r="Z27" s="211">
        <f>Расчёт[[#This Row],[5
Кол-во]]*Расчёт[[#This Row],[23
Цена Вход]]</f>
        <v>2620.86</v>
      </c>
    </row>
    <row r="28" spans="1:26" x14ac:dyDescent="0.25">
      <c r="A28" s="199" t="s">
        <v>249</v>
      </c>
      <c r="B28" s="200" t="s">
        <v>226</v>
      </c>
      <c r="C28" s="201" t="s">
        <v>250</v>
      </c>
      <c r="D28" s="202" t="s">
        <v>251</v>
      </c>
      <c r="E28" s="203">
        <v>2</v>
      </c>
      <c r="F28" s="204" t="s">
        <v>29</v>
      </c>
      <c r="G2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1805</v>
      </c>
      <c r="H28" s="196">
        <f t="shared" si="2"/>
        <v>3610</v>
      </c>
      <c r="I28" s="153">
        <f t="shared" si="3"/>
        <v>0.27399999999999997</v>
      </c>
      <c r="J2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1310.43</v>
      </c>
      <c r="K28" s="231">
        <f>Расчёт[[#This Row],[5
Кол-во]]*Расчёт[[#This Row],[10
Цена Вход]]</f>
        <v>2620.86</v>
      </c>
      <c r="L28" s="213" t="s">
        <v>30</v>
      </c>
      <c r="M28" s="205"/>
      <c r="N28" s="206"/>
      <c r="O28" s="207"/>
      <c r="P28" s="208"/>
      <c r="Q28" s="209">
        <f>Расчёт[[#This Row],[5
Кол-во]]*Расчёт[[#This Row],[16
Вес]]</f>
        <v>0</v>
      </c>
      <c r="R28" s="208"/>
      <c r="S28" s="209">
        <f>Расчёт[[#This Row],[5
Кол-во]]*Расчёт[[#This Row],[18
Объём]]</f>
        <v>0</v>
      </c>
      <c r="T28" s="212" t="s">
        <v>21</v>
      </c>
      <c r="U28" s="197">
        <v>1805</v>
      </c>
      <c r="V28" s="210" t="s">
        <v>21</v>
      </c>
      <c r="W28" s="219">
        <v>1310.43</v>
      </c>
      <c r="X28" s="198" t="s">
        <v>30</v>
      </c>
      <c r="Y28" s="211">
        <f>Расчёт[[#This Row],[5
Кол-во]]*Расчёт[[#This Row],[21
Цена GPL]]</f>
        <v>3610</v>
      </c>
      <c r="Z28" s="211">
        <f>Расчёт[[#This Row],[5
Кол-во]]*Расчёт[[#This Row],[23
Цена Вход]]</f>
        <v>2620.86</v>
      </c>
    </row>
    <row r="29" spans="1:26" x14ac:dyDescent="0.25">
      <c r="A29" s="199"/>
      <c r="B29" s="200" t="s">
        <v>226</v>
      </c>
      <c r="C29" s="201" t="s">
        <v>252</v>
      </c>
      <c r="D29" s="202" t="s">
        <v>232</v>
      </c>
      <c r="E29" s="203">
        <v>2</v>
      </c>
      <c r="F29" s="204" t="s">
        <v>29</v>
      </c>
      <c r="G2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29" s="196">
        <f t="shared" ref="H29:H33" si="4">E29*G29</f>
        <v>0</v>
      </c>
      <c r="I29" s="153" t="str">
        <f t="shared" ref="I29:I33" si="5">IFERROR((G29-J29)/G29,"")</f>
        <v/>
      </c>
      <c r="J2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29" s="231">
        <f>Расчёт[[#This Row],[5
Кол-во]]*Расчёт[[#This Row],[10
Цена Вход]]</f>
        <v>0</v>
      </c>
      <c r="L29" s="213" t="s">
        <v>30</v>
      </c>
      <c r="M29" s="205"/>
      <c r="N29" s="206"/>
      <c r="O29" s="207"/>
      <c r="P29" s="208"/>
      <c r="Q29" s="209">
        <f>Расчёт[[#This Row],[5
Кол-во]]*Расчёт[[#This Row],[16
Вес]]</f>
        <v>0</v>
      </c>
      <c r="R29" s="208"/>
      <c r="S29" s="209">
        <f>Расчёт[[#This Row],[5
Кол-во]]*Расчёт[[#This Row],[18
Объём]]</f>
        <v>0</v>
      </c>
      <c r="T29" s="212" t="s">
        <v>21</v>
      </c>
      <c r="U29" s="197">
        <v>0</v>
      </c>
      <c r="V29" s="210" t="s">
        <v>21</v>
      </c>
      <c r="W29" s="219">
        <v>0</v>
      </c>
      <c r="X29" s="198" t="s">
        <v>30</v>
      </c>
      <c r="Y29" s="211">
        <f>Расчёт[[#This Row],[5
Кол-во]]*Расчёт[[#This Row],[21
Цена GPL]]</f>
        <v>0</v>
      </c>
      <c r="Z29" s="211">
        <f>Расчёт[[#This Row],[5
Кол-во]]*Расчёт[[#This Row],[23
Цена Вход]]</f>
        <v>0</v>
      </c>
    </row>
    <row r="30" spans="1:26" x14ac:dyDescent="0.25">
      <c r="A30" s="199" t="s">
        <v>253</v>
      </c>
      <c r="B30" s="200" t="s">
        <v>226</v>
      </c>
      <c r="C30" s="201" t="s">
        <v>254</v>
      </c>
      <c r="D30" s="202" t="s">
        <v>255</v>
      </c>
      <c r="E30" s="203">
        <v>2</v>
      </c>
      <c r="F30" s="204" t="s">
        <v>29</v>
      </c>
      <c r="G3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190</v>
      </c>
      <c r="H30" s="196">
        <f t="shared" si="4"/>
        <v>380</v>
      </c>
      <c r="I30" s="153">
        <f t="shared" si="5"/>
        <v>0.27400000000000002</v>
      </c>
      <c r="J3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137.94</v>
      </c>
      <c r="K30" s="231">
        <f>Расчёт[[#This Row],[5
Кол-во]]*Расчёт[[#This Row],[10
Цена Вход]]</f>
        <v>275.88</v>
      </c>
      <c r="L30" s="213" t="s">
        <v>30</v>
      </c>
      <c r="M30" s="205"/>
      <c r="N30" s="206"/>
      <c r="O30" s="207"/>
      <c r="P30" s="208"/>
      <c r="Q30" s="209">
        <f>Расчёт[[#This Row],[5
Кол-во]]*Расчёт[[#This Row],[16
Вес]]</f>
        <v>0</v>
      </c>
      <c r="R30" s="208"/>
      <c r="S30" s="209">
        <f>Расчёт[[#This Row],[5
Кол-во]]*Расчёт[[#This Row],[18
Объём]]</f>
        <v>0</v>
      </c>
      <c r="T30" s="212" t="s">
        <v>21</v>
      </c>
      <c r="U30" s="197">
        <v>190</v>
      </c>
      <c r="V30" s="210" t="s">
        <v>21</v>
      </c>
      <c r="W30" s="219">
        <v>137.94</v>
      </c>
      <c r="X30" s="198" t="s">
        <v>30</v>
      </c>
      <c r="Y30" s="211">
        <f>Расчёт[[#This Row],[5
Кол-во]]*Расчёт[[#This Row],[21
Цена GPL]]</f>
        <v>380</v>
      </c>
      <c r="Z30" s="211">
        <f>Расчёт[[#This Row],[5
Кол-во]]*Расчёт[[#This Row],[23
Цена Вход]]</f>
        <v>275.88</v>
      </c>
    </row>
    <row r="31" spans="1:26" x14ac:dyDescent="0.25">
      <c r="A31" s="199"/>
      <c r="B31" s="200" t="s">
        <v>226</v>
      </c>
      <c r="C31" s="201" t="s">
        <v>256</v>
      </c>
      <c r="D31" s="202" t="s">
        <v>232</v>
      </c>
      <c r="E31" s="203">
        <v>2</v>
      </c>
      <c r="F31" s="204" t="s">
        <v>29</v>
      </c>
      <c r="G3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1" s="196">
        <f t="shared" si="4"/>
        <v>0</v>
      </c>
      <c r="I31" s="153" t="str">
        <f t="shared" si="5"/>
        <v/>
      </c>
      <c r="J3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31" s="231">
        <f>Расчёт[[#This Row],[5
Кол-во]]*Расчёт[[#This Row],[10
Цена Вход]]</f>
        <v>0</v>
      </c>
      <c r="L31" s="213" t="s">
        <v>30</v>
      </c>
      <c r="M31" s="205"/>
      <c r="N31" s="206"/>
      <c r="O31" s="207"/>
      <c r="P31" s="208"/>
      <c r="Q31" s="209">
        <f>Расчёт[[#This Row],[5
Кол-во]]*Расчёт[[#This Row],[16
Вес]]</f>
        <v>0</v>
      </c>
      <c r="R31" s="208"/>
      <c r="S31" s="209">
        <f>Расчёт[[#This Row],[5
Кол-во]]*Расчёт[[#This Row],[18
Объём]]</f>
        <v>0</v>
      </c>
      <c r="T31" s="212" t="s">
        <v>21</v>
      </c>
      <c r="U31" s="197">
        <v>0</v>
      </c>
      <c r="V31" s="210" t="s">
        <v>21</v>
      </c>
      <c r="W31" s="219">
        <v>0</v>
      </c>
      <c r="X31" s="198" t="s">
        <v>30</v>
      </c>
      <c r="Y31" s="211">
        <f>Расчёт[[#This Row],[5
Кол-во]]*Расчёт[[#This Row],[21
Цена GPL]]</f>
        <v>0</v>
      </c>
      <c r="Z31" s="211">
        <f>Расчёт[[#This Row],[5
Кол-во]]*Расчёт[[#This Row],[23
Цена Вход]]</f>
        <v>0</v>
      </c>
    </row>
    <row r="32" spans="1:26" x14ac:dyDescent="0.25">
      <c r="A32" s="199" t="s">
        <v>257</v>
      </c>
      <c r="B32" s="200" t="s">
        <v>226</v>
      </c>
      <c r="C32" s="201" t="s">
        <v>258</v>
      </c>
      <c r="D32" s="202" t="s">
        <v>259</v>
      </c>
      <c r="E32" s="203">
        <v>16</v>
      </c>
      <c r="F32" s="204" t="s">
        <v>29</v>
      </c>
      <c r="G3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915</v>
      </c>
      <c r="H32" s="196">
        <f t="shared" si="4"/>
        <v>14640</v>
      </c>
      <c r="I32" s="153">
        <f t="shared" si="5"/>
        <v>0.27400000000000002</v>
      </c>
      <c r="J3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664.29</v>
      </c>
      <c r="K32" s="231">
        <f>Расчёт[[#This Row],[5
Кол-во]]*Расчёт[[#This Row],[10
Цена Вход]]</f>
        <v>10628.64</v>
      </c>
      <c r="L32" s="213" t="s">
        <v>30</v>
      </c>
      <c r="M32" s="205"/>
      <c r="N32" s="206"/>
      <c r="O32" s="207"/>
      <c r="P32" s="208"/>
      <c r="Q32" s="209">
        <f>Расчёт[[#This Row],[5
Кол-во]]*Расчёт[[#This Row],[16
Вес]]</f>
        <v>0</v>
      </c>
      <c r="R32" s="208"/>
      <c r="S32" s="209">
        <f>Расчёт[[#This Row],[5
Кол-во]]*Расчёт[[#This Row],[18
Объём]]</f>
        <v>0</v>
      </c>
      <c r="T32" s="212" t="s">
        <v>21</v>
      </c>
      <c r="U32" s="197">
        <v>915</v>
      </c>
      <c r="V32" s="210" t="s">
        <v>21</v>
      </c>
      <c r="W32" s="219">
        <v>664.29</v>
      </c>
      <c r="X32" s="198" t="s">
        <v>30</v>
      </c>
      <c r="Y32" s="211">
        <f>Расчёт[[#This Row],[5
Кол-во]]*Расчёт[[#This Row],[21
Цена GPL]]</f>
        <v>14640</v>
      </c>
      <c r="Z32" s="211">
        <f>Расчёт[[#This Row],[5
Кол-во]]*Расчёт[[#This Row],[23
Цена Вход]]</f>
        <v>10628.64</v>
      </c>
    </row>
    <row r="33" spans="1:26" x14ac:dyDescent="0.25">
      <c r="A33" s="199"/>
      <c r="B33" s="200" t="s">
        <v>226</v>
      </c>
      <c r="C33" s="201" t="s">
        <v>260</v>
      </c>
      <c r="D33" s="202" t="s">
        <v>232</v>
      </c>
      <c r="E33" s="203">
        <v>16</v>
      </c>
      <c r="F33" s="204" t="s">
        <v>29</v>
      </c>
      <c r="G3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3" s="196">
        <f t="shared" si="4"/>
        <v>0</v>
      </c>
      <c r="I33" s="153" t="str">
        <f t="shared" si="5"/>
        <v/>
      </c>
      <c r="J3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33" s="231">
        <f>Расчёт[[#This Row],[5
Кол-во]]*Расчёт[[#This Row],[10
Цена Вход]]</f>
        <v>0</v>
      </c>
      <c r="L33" s="213" t="s">
        <v>30</v>
      </c>
      <c r="M33" s="205"/>
      <c r="N33" s="206"/>
      <c r="O33" s="207"/>
      <c r="P33" s="208"/>
      <c r="Q33" s="209">
        <f>Расчёт[[#This Row],[5
Кол-во]]*Расчёт[[#This Row],[16
Вес]]</f>
        <v>0</v>
      </c>
      <c r="R33" s="208"/>
      <c r="S33" s="209">
        <f>Расчёт[[#This Row],[5
Кол-во]]*Расчёт[[#This Row],[18
Объём]]</f>
        <v>0</v>
      </c>
      <c r="T33" s="212" t="s">
        <v>21</v>
      </c>
      <c r="U33" s="197">
        <v>0</v>
      </c>
      <c r="V33" s="210" t="s">
        <v>21</v>
      </c>
      <c r="W33" s="219">
        <v>0</v>
      </c>
      <c r="X33" s="198" t="s">
        <v>30</v>
      </c>
      <c r="Y33" s="211">
        <f>Расчёт[[#This Row],[5
Кол-во]]*Расчёт[[#This Row],[21
Цена GPL]]</f>
        <v>0</v>
      </c>
      <c r="Z33" s="211">
        <f>Расчёт[[#This Row],[5
Кол-во]]*Расчёт[[#This Row],[23
Цена Вход]]</f>
        <v>0</v>
      </c>
    </row>
    <row r="34" spans="1:26" x14ac:dyDescent="0.25">
      <c r="A34" s="199" t="s">
        <v>261</v>
      </c>
      <c r="B34" s="200" t="s">
        <v>226</v>
      </c>
      <c r="C34" s="201" t="s">
        <v>262</v>
      </c>
      <c r="D34" s="202" t="s">
        <v>263</v>
      </c>
      <c r="E34" s="203">
        <v>4</v>
      </c>
      <c r="F34" s="204" t="s">
        <v>29</v>
      </c>
      <c r="G3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395</v>
      </c>
      <c r="H34" s="196">
        <f t="shared" ref="H34:H53" si="6">E34*G34</f>
        <v>1580</v>
      </c>
      <c r="I34" s="153">
        <f t="shared" ref="I34:I53" si="7">IFERROR((G34-J34)/G34,"")</f>
        <v>0.27400000000000002</v>
      </c>
      <c r="J3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286.77</v>
      </c>
      <c r="K34" s="231">
        <f>Расчёт[[#This Row],[5
Кол-во]]*Расчёт[[#This Row],[10
Цена Вход]]</f>
        <v>1147.08</v>
      </c>
      <c r="L34" s="213" t="s">
        <v>30</v>
      </c>
      <c r="M34" s="205"/>
      <c r="N34" s="206"/>
      <c r="O34" s="207"/>
      <c r="P34" s="208"/>
      <c r="Q34" s="209">
        <f>Расчёт[[#This Row],[5
Кол-во]]*Расчёт[[#This Row],[16
Вес]]</f>
        <v>0</v>
      </c>
      <c r="R34" s="208"/>
      <c r="S34" s="209">
        <f>Расчёт[[#This Row],[5
Кол-во]]*Расчёт[[#This Row],[18
Объём]]</f>
        <v>0</v>
      </c>
      <c r="T34" s="212" t="s">
        <v>21</v>
      </c>
      <c r="U34" s="197">
        <v>395</v>
      </c>
      <c r="V34" s="210" t="s">
        <v>21</v>
      </c>
      <c r="W34" s="219">
        <v>286.77</v>
      </c>
      <c r="X34" s="198" t="s">
        <v>30</v>
      </c>
      <c r="Y34" s="211">
        <f>Расчёт[[#This Row],[5
Кол-во]]*Расчёт[[#This Row],[21
Цена GPL]]</f>
        <v>1580</v>
      </c>
      <c r="Z34" s="211">
        <f>Расчёт[[#This Row],[5
Кол-во]]*Расчёт[[#This Row],[23
Цена Вход]]</f>
        <v>1147.08</v>
      </c>
    </row>
    <row r="35" spans="1:26" x14ac:dyDescent="0.25">
      <c r="A35" s="199"/>
      <c r="B35" s="200" t="s">
        <v>226</v>
      </c>
      <c r="C35" s="201" t="s">
        <v>264</v>
      </c>
      <c r="D35" s="202" t="s">
        <v>232</v>
      </c>
      <c r="E35" s="203">
        <v>4</v>
      </c>
      <c r="F35" s="204" t="s">
        <v>29</v>
      </c>
      <c r="G3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5" s="196">
        <f t="shared" si="6"/>
        <v>0</v>
      </c>
      <c r="I35" s="153" t="str">
        <f t="shared" si="7"/>
        <v/>
      </c>
      <c r="J3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35" s="231">
        <f>Расчёт[[#This Row],[5
Кол-во]]*Расчёт[[#This Row],[10
Цена Вход]]</f>
        <v>0</v>
      </c>
      <c r="L35" s="213" t="s">
        <v>30</v>
      </c>
      <c r="M35" s="205"/>
      <c r="N35" s="206"/>
      <c r="O35" s="207"/>
      <c r="P35" s="208"/>
      <c r="Q35" s="209">
        <f>Расчёт[[#This Row],[5
Кол-во]]*Расчёт[[#This Row],[16
Вес]]</f>
        <v>0</v>
      </c>
      <c r="R35" s="208"/>
      <c r="S35" s="209">
        <f>Расчёт[[#This Row],[5
Кол-во]]*Расчёт[[#This Row],[18
Объём]]</f>
        <v>0</v>
      </c>
      <c r="T35" s="212" t="s">
        <v>21</v>
      </c>
      <c r="U35" s="197">
        <v>0</v>
      </c>
      <c r="V35" s="210" t="s">
        <v>21</v>
      </c>
      <c r="W35" s="219">
        <v>0</v>
      </c>
      <c r="X35" s="198" t="s">
        <v>30</v>
      </c>
      <c r="Y35" s="211">
        <f>Расчёт[[#This Row],[5
Кол-во]]*Расчёт[[#This Row],[21
Цена GPL]]</f>
        <v>0</v>
      </c>
      <c r="Z35" s="211">
        <f>Расчёт[[#This Row],[5
Кол-во]]*Расчёт[[#This Row],[23
Цена Вход]]</f>
        <v>0</v>
      </c>
    </row>
    <row r="36" spans="1:26" x14ac:dyDescent="0.25">
      <c r="A36" s="199" t="s">
        <v>265</v>
      </c>
      <c r="B36" s="200" t="s">
        <v>226</v>
      </c>
      <c r="C36" s="201" t="s">
        <v>266</v>
      </c>
      <c r="D36" s="202" t="s">
        <v>267</v>
      </c>
      <c r="E36" s="203">
        <v>2</v>
      </c>
      <c r="F36" s="204" t="s">
        <v>29</v>
      </c>
      <c r="G3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4785</v>
      </c>
      <c r="H36" s="196">
        <f t="shared" si="6"/>
        <v>9570</v>
      </c>
      <c r="I36" s="153">
        <f t="shared" si="7"/>
        <v>0.27400000000000002</v>
      </c>
      <c r="J3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3473.91</v>
      </c>
      <c r="K36" s="231">
        <f>Расчёт[[#This Row],[5
Кол-во]]*Расчёт[[#This Row],[10
Цена Вход]]</f>
        <v>6947.82</v>
      </c>
      <c r="L36" s="213" t="s">
        <v>30</v>
      </c>
      <c r="M36" s="205"/>
      <c r="N36" s="206"/>
      <c r="O36" s="207"/>
      <c r="P36" s="208"/>
      <c r="Q36" s="209">
        <f>Расчёт[[#This Row],[5
Кол-во]]*Расчёт[[#This Row],[16
Вес]]</f>
        <v>0</v>
      </c>
      <c r="R36" s="208"/>
      <c r="S36" s="209">
        <f>Расчёт[[#This Row],[5
Кол-во]]*Расчёт[[#This Row],[18
Объём]]</f>
        <v>0</v>
      </c>
      <c r="T36" s="212" t="s">
        <v>21</v>
      </c>
      <c r="U36" s="197">
        <v>4785</v>
      </c>
      <c r="V36" s="210" t="s">
        <v>21</v>
      </c>
      <c r="W36" s="219">
        <v>3473.91</v>
      </c>
      <c r="X36" s="198" t="s">
        <v>30</v>
      </c>
      <c r="Y36" s="211">
        <f>Расчёт[[#This Row],[5
Кол-во]]*Расчёт[[#This Row],[21
Цена GPL]]</f>
        <v>9570</v>
      </c>
      <c r="Z36" s="211">
        <f>Расчёт[[#This Row],[5
Кол-во]]*Расчёт[[#This Row],[23
Цена Вход]]</f>
        <v>6947.82</v>
      </c>
    </row>
    <row r="37" spans="1:26" x14ac:dyDescent="0.25">
      <c r="A37" s="199"/>
      <c r="B37" s="200" t="s">
        <v>226</v>
      </c>
      <c r="C37" s="201" t="s">
        <v>268</v>
      </c>
      <c r="D37" s="202" t="s">
        <v>232</v>
      </c>
      <c r="E37" s="203">
        <v>2</v>
      </c>
      <c r="F37" s="204" t="s">
        <v>29</v>
      </c>
      <c r="G3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7" s="196">
        <f t="shared" si="6"/>
        <v>0</v>
      </c>
      <c r="I37" s="153" t="str">
        <f t="shared" si="7"/>
        <v/>
      </c>
      <c r="J3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37" s="231">
        <f>Расчёт[[#This Row],[5
Кол-во]]*Расчёт[[#This Row],[10
Цена Вход]]</f>
        <v>0</v>
      </c>
      <c r="L37" s="213" t="s">
        <v>30</v>
      </c>
      <c r="M37" s="205"/>
      <c r="N37" s="206"/>
      <c r="O37" s="207"/>
      <c r="P37" s="208"/>
      <c r="Q37" s="209">
        <f>Расчёт[[#This Row],[5
Кол-во]]*Расчёт[[#This Row],[16
Вес]]</f>
        <v>0</v>
      </c>
      <c r="R37" s="208"/>
      <c r="S37" s="209">
        <f>Расчёт[[#This Row],[5
Кол-во]]*Расчёт[[#This Row],[18
Объём]]</f>
        <v>0</v>
      </c>
      <c r="T37" s="212" t="s">
        <v>21</v>
      </c>
      <c r="U37" s="197">
        <v>0</v>
      </c>
      <c r="V37" s="210" t="s">
        <v>21</v>
      </c>
      <c r="W37" s="219">
        <v>0</v>
      </c>
      <c r="X37" s="198" t="s">
        <v>30</v>
      </c>
      <c r="Y37" s="211">
        <f>Расчёт[[#This Row],[5
Кол-во]]*Расчёт[[#This Row],[21
Цена GPL]]</f>
        <v>0</v>
      </c>
      <c r="Z37" s="211">
        <f>Расчёт[[#This Row],[5
Кол-во]]*Расчёт[[#This Row],[23
Цена Вход]]</f>
        <v>0</v>
      </c>
    </row>
    <row r="38" spans="1:26" x14ac:dyDescent="0.25">
      <c r="A38" s="199" t="s">
        <v>269</v>
      </c>
      <c r="B38" s="200" t="s">
        <v>226</v>
      </c>
      <c r="C38" s="201" t="s">
        <v>270</v>
      </c>
      <c r="D38" s="202" t="s">
        <v>271</v>
      </c>
      <c r="E38" s="203">
        <v>2</v>
      </c>
      <c r="F38" s="204" t="s">
        <v>29</v>
      </c>
      <c r="G3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770</v>
      </c>
      <c r="H38" s="196">
        <f t="shared" si="6"/>
        <v>1540</v>
      </c>
      <c r="I38" s="153">
        <f t="shared" si="7"/>
        <v>0.27400000000000002</v>
      </c>
      <c r="J3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559.02</v>
      </c>
      <c r="K38" s="231">
        <f>Расчёт[[#This Row],[5
Кол-во]]*Расчёт[[#This Row],[10
Цена Вход]]</f>
        <v>1118.04</v>
      </c>
      <c r="L38" s="213" t="s">
        <v>30</v>
      </c>
      <c r="M38" s="205"/>
      <c r="N38" s="206"/>
      <c r="O38" s="207"/>
      <c r="P38" s="208"/>
      <c r="Q38" s="209">
        <f>Расчёт[[#This Row],[5
Кол-во]]*Расчёт[[#This Row],[16
Вес]]</f>
        <v>0</v>
      </c>
      <c r="R38" s="208"/>
      <c r="S38" s="209">
        <f>Расчёт[[#This Row],[5
Кол-во]]*Расчёт[[#This Row],[18
Объём]]</f>
        <v>0</v>
      </c>
      <c r="T38" s="212" t="s">
        <v>21</v>
      </c>
      <c r="U38" s="197">
        <v>770</v>
      </c>
      <c r="V38" s="210" t="s">
        <v>21</v>
      </c>
      <c r="W38" s="219">
        <v>559.02</v>
      </c>
      <c r="X38" s="198" t="s">
        <v>30</v>
      </c>
      <c r="Y38" s="211">
        <f>Расчёт[[#This Row],[5
Кол-во]]*Расчёт[[#This Row],[21
Цена GPL]]</f>
        <v>1540</v>
      </c>
      <c r="Z38" s="211">
        <f>Расчёт[[#This Row],[5
Кол-во]]*Расчёт[[#This Row],[23
Цена Вход]]</f>
        <v>1118.04</v>
      </c>
    </row>
    <row r="39" spans="1:26" x14ac:dyDescent="0.25">
      <c r="A39" s="199"/>
      <c r="B39" s="200" t="s">
        <v>226</v>
      </c>
      <c r="C39" s="201" t="s">
        <v>272</v>
      </c>
      <c r="D39" s="202" t="s">
        <v>232</v>
      </c>
      <c r="E39" s="203">
        <v>2</v>
      </c>
      <c r="F39" s="204" t="s">
        <v>29</v>
      </c>
      <c r="G3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39" s="196">
        <f t="shared" si="6"/>
        <v>0</v>
      </c>
      <c r="I39" s="153" t="str">
        <f t="shared" si="7"/>
        <v/>
      </c>
      <c r="J3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39" s="231">
        <f>Расчёт[[#This Row],[5
Кол-во]]*Расчёт[[#This Row],[10
Цена Вход]]</f>
        <v>0</v>
      </c>
      <c r="L39" s="213" t="s">
        <v>30</v>
      </c>
      <c r="M39" s="205"/>
      <c r="N39" s="206"/>
      <c r="O39" s="207"/>
      <c r="P39" s="208"/>
      <c r="Q39" s="209">
        <f>Расчёт[[#This Row],[5
Кол-во]]*Расчёт[[#This Row],[16
Вес]]</f>
        <v>0</v>
      </c>
      <c r="R39" s="208"/>
      <c r="S39" s="209">
        <f>Расчёт[[#This Row],[5
Кол-во]]*Расчёт[[#This Row],[18
Объём]]</f>
        <v>0</v>
      </c>
      <c r="T39" s="212" t="s">
        <v>21</v>
      </c>
      <c r="U39" s="197">
        <v>0</v>
      </c>
      <c r="V39" s="210" t="s">
        <v>21</v>
      </c>
      <c r="W39" s="219">
        <v>0</v>
      </c>
      <c r="X39" s="198" t="s">
        <v>30</v>
      </c>
      <c r="Y39" s="211">
        <f>Расчёт[[#This Row],[5
Кол-во]]*Расчёт[[#This Row],[21
Цена GPL]]</f>
        <v>0</v>
      </c>
      <c r="Z39" s="211">
        <f>Расчёт[[#This Row],[5
Кол-во]]*Расчёт[[#This Row],[23
Цена Вход]]</f>
        <v>0</v>
      </c>
    </row>
    <row r="40" spans="1:26" x14ac:dyDescent="0.25">
      <c r="A40" s="199" t="s">
        <v>273</v>
      </c>
      <c r="B40" s="200" t="s">
        <v>226</v>
      </c>
      <c r="C40" s="201" t="s">
        <v>274</v>
      </c>
      <c r="D40" s="202" t="s">
        <v>275</v>
      </c>
      <c r="E40" s="203">
        <v>2</v>
      </c>
      <c r="F40" s="204" t="s">
        <v>29</v>
      </c>
      <c r="G4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115</v>
      </c>
      <c r="H40" s="196">
        <f t="shared" si="6"/>
        <v>230</v>
      </c>
      <c r="I40" s="153">
        <f t="shared" si="7"/>
        <v>0.27400000000000002</v>
      </c>
      <c r="J4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83.49</v>
      </c>
      <c r="K40" s="231">
        <f>Расчёт[[#This Row],[5
Кол-во]]*Расчёт[[#This Row],[10
Цена Вход]]</f>
        <v>166.98</v>
      </c>
      <c r="L40" s="213" t="s">
        <v>30</v>
      </c>
      <c r="M40" s="205"/>
      <c r="N40" s="206"/>
      <c r="O40" s="207"/>
      <c r="P40" s="208"/>
      <c r="Q40" s="209">
        <f>Расчёт[[#This Row],[5
Кол-во]]*Расчёт[[#This Row],[16
Вес]]</f>
        <v>0</v>
      </c>
      <c r="R40" s="208"/>
      <c r="S40" s="209">
        <f>Расчёт[[#This Row],[5
Кол-во]]*Расчёт[[#This Row],[18
Объём]]</f>
        <v>0</v>
      </c>
      <c r="T40" s="212" t="s">
        <v>21</v>
      </c>
      <c r="U40" s="197">
        <v>115</v>
      </c>
      <c r="V40" s="210" t="s">
        <v>21</v>
      </c>
      <c r="W40" s="219">
        <v>83.49</v>
      </c>
      <c r="X40" s="198" t="s">
        <v>30</v>
      </c>
      <c r="Y40" s="211">
        <f>Расчёт[[#This Row],[5
Кол-во]]*Расчёт[[#This Row],[21
Цена GPL]]</f>
        <v>230</v>
      </c>
      <c r="Z40" s="211">
        <f>Расчёт[[#This Row],[5
Кол-во]]*Расчёт[[#This Row],[23
Цена Вход]]</f>
        <v>166.98</v>
      </c>
    </row>
    <row r="41" spans="1:26" x14ac:dyDescent="0.25">
      <c r="A41" s="199"/>
      <c r="B41" s="200" t="s">
        <v>226</v>
      </c>
      <c r="C41" s="201" t="s">
        <v>276</v>
      </c>
      <c r="D41" s="202" t="s">
        <v>232</v>
      </c>
      <c r="E41" s="203">
        <v>2</v>
      </c>
      <c r="F41" s="204" t="s">
        <v>29</v>
      </c>
      <c r="G4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1" s="196">
        <f t="shared" si="6"/>
        <v>0</v>
      </c>
      <c r="I41" s="153" t="str">
        <f t="shared" si="7"/>
        <v/>
      </c>
      <c r="J4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1" s="231">
        <f>Расчёт[[#This Row],[5
Кол-во]]*Расчёт[[#This Row],[10
Цена Вход]]</f>
        <v>0</v>
      </c>
      <c r="L41" s="213" t="s">
        <v>30</v>
      </c>
      <c r="M41" s="205"/>
      <c r="N41" s="206"/>
      <c r="O41" s="207"/>
      <c r="P41" s="208"/>
      <c r="Q41" s="209">
        <f>Расчёт[[#This Row],[5
Кол-во]]*Расчёт[[#This Row],[16
Вес]]</f>
        <v>0</v>
      </c>
      <c r="R41" s="208"/>
      <c r="S41" s="209">
        <f>Расчёт[[#This Row],[5
Кол-во]]*Расчёт[[#This Row],[18
Объём]]</f>
        <v>0</v>
      </c>
      <c r="T41" s="212" t="s">
        <v>21</v>
      </c>
      <c r="U41" s="197">
        <v>0</v>
      </c>
      <c r="V41" s="210" t="s">
        <v>21</v>
      </c>
      <c r="W41" s="219">
        <v>0</v>
      </c>
      <c r="X41" s="198" t="s">
        <v>30</v>
      </c>
      <c r="Y41" s="211">
        <f>Расчёт[[#This Row],[5
Кол-во]]*Расчёт[[#This Row],[21
Цена GPL]]</f>
        <v>0</v>
      </c>
      <c r="Z41" s="211">
        <f>Расчёт[[#This Row],[5
Кол-во]]*Расчёт[[#This Row],[23
Цена Вход]]</f>
        <v>0</v>
      </c>
    </row>
    <row r="42" spans="1:26" x14ac:dyDescent="0.25">
      <c r="A42" s="199" t="s">
        <v>277</v>
      </c>
      <c r="B42" s="200" t="s">
        <v>226</v>
      </c>
      <c r="C42" s="201" t="s">
        <v>278</v>
      </c>
      <c r="D42" s="202" t="s">
        <v>279</v>
      </c>
      <c r="E42" s="203">
        <v>2</v>
      </c>
      <c r="F42" s="204" t="s">
        <v>29</v>
      </c>
      <c r="G4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90</v>
      </c>
      <c r="H42" s="196">
        <f t="shared" si="6"/>
        <v>180</v>
      </c>
      <c r="I42" s="153">
        <f t="shared" si="7"/>
        <v>0.27399999999999997</v>
      </c>
      <c r="J4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65.34</v>
      </c>
      <c r="K42" s="231">
        <f>Расчёт[[#This Row],[5
Кол-во]]*Расчёт[[#This Row],[10
Цена Вход]]</f>
        <v>130.68</v>
      </c>
      <c r="L42" s="213" t="s">
        <v>30</v>
      </c>
      <c r="M42" s="205"/>
      <c r="N42" s="206"/>
      <c r="O42" s="207"/>
      <c r="P42" s="208"/>
      <c r="Q42" s="209">
        <f>Расчёт[[#This Row],[5
Кол-во]]*Расчёт[[#This Row],[16
Вес]]</f>
        <v>0</v>
      </c>
      <c r="R42" s="208"/>
      <c r="S42" s="209">
        <f>Расчёт[[#This Row],[5
Кол-во]]*Расчёт[[#This Row],[18
Объём]]</f>
        <v>0</v>
      </c>
      <c r="T42" s="212" t="s">
        <v>21</v>
      </c>
      <c r="U42" s="197">
        <v>90</v>
      </c>
      <c r="V42" s="210" t="s">
        <v>21</v>
      </c>
      <c r="W42" s="219">
        <v>65.34</v>
      </c>
      <c r="X42" s="198" t="s">
        <v>30</v>
      </c>
      <c r="Y42" s="211">
        <f>Расчёт[[#This Row],[5
Кол-во]]*Расчёт[[#This Row],[21
Цена GPL]]</f>
        <v>180</v>
      </c>
      <c r="Z42" s="211">
        <f>Расчёт[[#This Row],[5
Кол-во]]*Расчёт[[#This Row],[23
Цена Вход]]</f>
        <v>130.68</v>
      </c>
    </row>
    <row r="43" spans="1:26" x14ac:dyDescent="0.25">
      <c r="A43" s="199"/>
      <c r="B43" s="200" t="s">
        <v>226</v>
      </c>
      <c r="C43" s="201" t="s">
        <v>280</v>
      </c>
      <c r="D43" s="202" t="s">
        <v>232</v>
      </c>
      <c r="E43" s="203">
        <v>2</v>
      </c>
      <c r="F43" s="204" t="s">
        <v>29</v>
      </c>
      <c r="G4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3" s="196">
        <f t="shared" si="6"/>
        <v>0</v>
      </c>
      <c r="I43" s="153" t="str">
        <f t="shared" si="7"/>
        <v/>
      </c>
      <c r="J4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3" s="231">
        <f>Расчёт[[#This Row],[5
Кол-во]]*Расчёт[[#This Row],[10
Цена Вход]]</f>
        <v>0</v>
      </c>
      <c r="L43" s="213" t="s">
        <v>30</v>
      </c>
      <c r="M43" s="205"/>
      <c r="N43" s="206"/>
      <c r="O43" s="207"/>
      <c r="P43" s="208"/>
      <c r="Q43" s="209">
        <f>Расчёт[[#This Row],[5
Кол-во]]*Расчёт[[#This Row],[16
Вес]]</f>
        <v>0</v>
      </c>
      <c r="R43" s="208"/>
      <c r="S43" s="209">
        <f>Расчёт[[#This Row],[5
Кол-во]]*Расчёт[[#This Row],[18
Объём]]</f>
        <v>0</v>
      </c>
      <c r="T43" s="212" t="s">
        <v>21</v>
      </c>
      <c r="U43" s="197">
        <v>0</v>
      </c>
      <c r="V43" s="210" t="s">
        <v>21</v>
      </c>
      <c r="W43" s="219">
        <v>0</v>
      </c>
      <c r="X43" s="198" t="s">
        <v>30</v>
      </c>
      <c r="Y43" s="211">
        <f>Расчёт[[#This Row],[5
Кол-во]]*Расчёт[[#This Row],[21
Цена GPL]]</f>
        <v>0</v>
      </c>
      <c r="Z43" s="211">
        <f>Расчёт[[#This Row],[5
Кол-во]]*Расчёт[[#This Row],[23
Цена Вход]]</f>
        <v>0</v>
      </c>
    </row>
    <row r="44" spans="1:26" x14ac:dyDescent="0.25">
      <c r="A44" s="199" t="s">
        <v>281</v>
      </c>
      <c r="B44" s="200" t="s">
        <v>226</v>
      </c>
      <c r="C44" s="201" t="s">
        <v>282</v>
      </c>
      <c r="D44" s="202" t="s">
        <v>283</v>
      </c>
      <c r="E44" s="203">
        <v>4</v>
      </c>
      <c r="F44" s="204" t="s">
        <v>29</v>
      </c>
      <c r="G4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325</v>
      </c>
      <c r="H44" s="196">
        <f t="shared" si="6"/>
        <v>1300</v>
      </c>
      <c r="I44" s="153">
        <f t="shared" si="7"/>
        <v>0.27400000000000002</v>
      </c>
      <c r="J4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235.95</v>
      </c>
      <c r="K44" s="231">
        <f>Расчёт[[#This Row],[5
Кол-во]]*Расчёт[[#This Row],[10
Цена Вход]]</f>
        <v>943.8</v>
      </c>
      <c r="L44" s="213" t="s">
        <v>30</v>
      </c>
      <c r="M44" s="205"/>
      <c r="N44" s="206"/>
      <c r="O44" s="207"/>
      <c r="P44" s="208"/>
      <c r="Q44" s="209">
        <f>Расчёт[[#This Row],[5
Кол-во]]*Расчёт[[#This Row],[16
Вес]]</f>
        <v>0</v>
      </c>
      <c r="R44" s="208"/>
      <c r="S44" s="209">
        <f>Расчёт[[#This Row],[5
Кол-во]]*Расчёт[[#This Row],[18
Объём]]</f>
        <v>0</v>
      </c>
      <c r="T44" s="212" t="s">
        <v>21</v>
      </c>
      <c r="U44" s="197">
        <v>325</v>
      </c>
      <c r="V44" s="210" t="s">
        <v>21</v>
      </c>
      <c r="W44" s="219">
        <v>235.95</v>
      </c>
      <c r="X44" s="198" t="s">
        <v>30</v>
      </c>
      <c r="Y44" s="211">
        <f>Расчёт[[#This Row],[5
Кол-во]]*Расчёт[[#This Row],[21
Цена GPL]]</f>
        <v>1300</v>
      </c>
      <c r="Z44" s="211">
        <f>Расчёт[[#This Row],[5
Кол-во]]*Расчёт[[#This Row],[23
Цена Вход]]</f>
        <v>943.8</v>
      </c>
    </row>
    <row r="45" spans="1:26" x14ac:dyDescent="0.25">
      <c r="A45" s="199"/>
      <c r="B45" s="200" t="s">
        <v>226</v>
      </c>
      <c r="C45" s="201" t="s">
        <v>284</v>
      </c>
      <c r="D45" s="202" t="s">
        <v>232</v>
      </c>
      <c r="E45" s="203">
        <v>4</v>
      </c>
      <c r="F45" s="204" t="s">
        <v>29</v>
      </c>
      <c r="G4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5" s="196">
        <f t="shared" si="6"/>
        <v>0</v>
      </c>
      <c r="I45" s="153" t="str">
        <f t="shared" si="7"/>
        <v/>
      </c>
      <c r="J4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5" s="231">
        <f>Расчёт[[#This Row],[5
Кол-во]]*Расчёт[[#This Row],[10
Цена Вход]]</f>
        <v>0</v>
      </c>
      <c r="L45" s="213" t="s">
        <v>30</v>
      </c>
      <c r="M45" s="205"/>
      <c r="N45" s="206"/>
      <c r="O45" s="207"/>
      <c r="P45" s="208"/>
      <c r="Q45" s="209">
        <f>Расчёт[[#This Row],[5
Кол-во]]*Расчёт[[#This Row],[16
Вес]]</f>
        <v>0</v>
      </c>
      <c r="R45" s="208"/>
      <c r="S45" s="209">
        <f>Расчёт[[#This Row],[5
Кол-во]]*Расчёт[[#This Row],[18
Объём]]</f>
        <v>0</v>
      </c>
      <c r="T45" s="212" t="s">
        <v>21</v>
      </c>
      <c r="U45" s="197">
        <v>0</v>
      </c>
      <c r="V45" s="210" t="s">
        <v>21</v>
      </c>
      <c r="W45" s="219">
        <v>0</v>
      </c>
      <c r="X45" s="198" t="s">
        <v>30</v>
      </c>
      <c r="Y45" s="211">
        <f>Расчёт[[#This Row],[5
Кол-во]]*Расчёт[[#This Row],[21
Цена GPL]]</f>
        <v>0</v>
      </c>
      <c r="Z45" s="211">
        <f>Расчёт[[#This Row],[5
Кол-во]]*Расчёт[[#This Row],[23
Цена Вход]]</f>
        <v>0</v>
      </c>
    </row>
    <row r="46" spans="1:26" x14ac:dyDescent="0.25">
      <c r="A46" s="199" t="s">
        <v>285</v>
      </c>
      <c r="B46" s="200" t="s">
        <v>226</v>
      </c>
      <c r="C46" s="201" t="s">
        <v>286</v>
      </c>
      <c r="D46" s="202" t="s">
        <v>287</v>
      </c>
      <c r="E46" s="203">
        <v>2</v>
      </c>
      <c r="F46" s="204" t="s">
        <v>29</v>
      </c>
      <c r="G4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265</v>
      </c>
      <c r="H46" s="196">
        <f t="shared" si="6"/>
        <v>530</v>
      </c>
      <c r="I46" s="153">
        <f t="shared" si="7"/>
        <v>0.27400000000000008</v>
      </c>
      <c r="J4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192.39</v>
      </c>
      <c r="K46" s="231">
        <f>Расчёт[[#This Row],[5
Кол-во]]*Расчёт[[#This Row],[10
Цена Вход]]</f>
        <v>384.78</v>
      </c>
      <c r="L46" s="213" t="s">
        <v>30</v>
      </c>
      <c r="M46" s="205"/>
      <c r="N46" s="206"/>
      <c r="O46" s="207"/>
      <c r="P46" s="208"/>
      <c r="Q46" s="209">
        <f>Расчёт[[#This Row],[5
Кол-во]]*Расчёт[[#This Row],[16
Вес]]</f>
        <v>0</v>
      </c>
      <c r="R46" s="208"/>
      <c r="S46" s="209">
        <f>Расчёт[[#This Row],[5
Кол-во]]*Расчёт[[#This Row],[18
Объём]]</f>
        <v>0</v>
      </c>
      <c r="T46" s="212" t="s">
        <v>21</v>
      </c>
      <c r="U46" s="197">
        <v>265</v>
      </c>
      <c r="V46" s="210" t="s">
        <v>21</v>
      </c>
      <c r="W46" s="219">
        <v>192.39</v>
      </c>
      <c r="X46" s="198" t="s">
        <v>30</v>
      </c>
      <c r="Y46" s="211">
        <f>Расчёт[[#This Row],[5
Кол-во]]*Расчёт[[#This Row],[21
Цена GPL]]</f>
        <v>530</v>
      </c>
      <c r="Z46" s="211">
        <f>Расчёт[[#This Row],[5
Кол-во]]*Расчёт[[#This Row],[23
Цена Вход]]</f>
        <v>384.78</v>
      </c>
    </row>
    <row r="47" spans="1:26" x14ac:dyDescent="0.25">
      <c r="A47" s="199"/>
      <c r="B47" s="200" t="s">
        <v>226</v>
      </c>
      <c r="C47" s="201" t="s">
        <v>288</v>
      </c>
      <c r="D47" s="202" t="s">
        <v>232</v>
      </c>
      <c r="E47" s="203">
        <v>2</v>
      </c>
      <c r="F47" s="204" t="s">
        <v>29</v>
      </c>
      <c r="G4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7" s="196">
        <f t="shared" si="6"/>
        <v>0</v>
      </c>
      <c r="I47" s="153" t="str">
        <f t="shared" si="7"/>
        <v/>
      </c>
      <c r="J4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7" s="231">
        <f>Расчёт[[#This Row],[5
Кол-во]]*Расчёт[[#This Row],[10
Цена Вход]]</f>
        <v>0</v>
      </c>
      <c r="L47" s="213" t="s">
        <v>30</v>
      </c>
      <c r="M47" s="205"/>
      <c r="N47" s="206"/>
      <c r="O47" s="207"/>
      <c r="P47" s="208"/>
      <c r="Q47" s="209">
        <f>Расчёт[[#This Row],[5
Кол-во]]*Расчёт[[#This Row],[16
Вес]]</f>
        <v>0</v>
      </c>
      <c r="R47" s="208"/>
      <c r="S47" s="209">
        <f>Расчёт[[#This Row],[5
Кол-во]]*Расчёт[[#This Row],[18
Объём]]</f>
        <v>0</v>
      </c>
      <c r="T47" s="212" t="s">
        <v>21</v>
      </c>
      <c r="U47" s="197">
        <v>0</v>
      </c>
      <c r="V47" s="210" t="s">
        <v>21</v>
      </c>
      <c r="W47" s="219">
        <v>0</v>
      </c>
      <c r="X47" s="198" t="s">
        <v>30</v>
      </c>
      <c r="Y47" s="211">
        <f>Расчёт[[#This Row],[5
Кол-во]]*Расчёт[[#This Row],[21
Цена GPL]]</f>
        <v>0</v>
      </c>
      <c r="Z47" s="211">
        <f>Расчёт[[#This Row],[5
Кол-во]]*Расчёт[[#This Row],[23
Цена Вход]]</f>
        <v>0</v>
      </c>
    </row>
    <row r="48" spans="1:26" x14ac:dyDescent="0.25">
      <c r="A48" s="199" t="s">
        <v>289</v>
      </c>
      <c r="B48" s="200" t="s">
        <v>226</v>
      </c>
      <c r="C48" s="201" t="s">
        <v>236</v>
      </c>
      <c r="D48" s="202" t="s">
        <v>237</v>
      </c>
      <c r="E48" s="203">
        <v>2</v>
      </c>
      <c r="F48" s="204" t="s">
        <v>29</v>
      </c>
      <c r="G4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48" s="196">
        <f t="shared" si="6"/>
        <v>0</v>
      </c>
      <c r="I48" s="153" t="str">
        <f t="shared" si="7"/>
        <v/>
      </c>
      <c r="J4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48" s="231">
        <f>Расчёт[[#This Row],[5
Кол-во]]*Расчёт[[#This Row],[10
Цена Вход]]</f>
        <v>0</v>
      </c>
      <c r="L48" s="213" t="s">
        <v>30</v>
      </c>
      <c r="M48" s="205"/>
      <c r="N48" s="206"/>
      <c r="O48" s="207"/>
      <c r="P48" s="208"/>
      <c r="Q48" s="209">
        <f>Расчёт[[#This Row],[5
Кол-во]]*Расчёт[[#This Row],[16
Вес]]</f>
        <v>0</v>
      </c>
      <c r="R48" s="208"/>
      <c r="S48" s="209">
        <f>Расчёт[[#This Row],[5
Кол-во]]*Расчёт[[#This Row],[18
Объём]]</f>
        <v>0</v>
      </c>
      <c r="T48" s="212" t="s">
        <v>21</v>
      </c>
      <c r="U48" s="197">
        <v>0</v>
      </c>
      <c r="V48" s="210" t="s">
        <v>21</v>
      </c>
      <c r="W48" s="219">
        <v>0</v>
      </c>
      <c r="X48" s="198" t="s">
        <v>30</v>
      </c>
      <c r="Y48" s="211">
        <f>Расчёт[[#This Row],[5
Кол-во]]*Расчёт[[#This Row],[21
Цена GPL]]</f>
        <v>0</v>
      </c>
      <c r="Z48" s="211">
        <f>Расчёт[[#This Row],[5
Кол-во]]*Расчёт[[#This Row],[23
Цена Вход]]</f>
        <v>0</v>
      </c>
    </row>
    <row r="49" spans="1:26" x14ac:dyDescent="0.25">
      <c r="A49" s="199" t="s">
        <v>290</v>
      </c>
      <c r="B49" s="200" t="s">
        <v>226</v>
      </c>
      <c r="C49" s="201" t="s">
        <v>291</v>
      </c>
      <c r="D49" s="202" t="s">
        <v>292</v>
      </c>
      <c r="E49" s="203">
        <v>2</v>
      </c>
      <c r="F49" s="204" t="s">
        <v>29</v>
      </c>
      <c r="G4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762</v>
      </c>
      <c r="H49" s="196">
        <f t="shared" si="6"/>
        <v>1524</v>
      </c>
      <c r="I49" s="153">
        <f t="shared" si="7"/>
        <v>0.27400000000000002</v>
      </c>
      <c r="J4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553.21199999999999</v>
      </c>
      <c r="K49" s="231">
        <f>Расчёт[[#This Row],[5
Кол-во]]*Расчёт[[#This Row],[10
Цена Вход]]</f>
        <v>1106.424</v>
      </c>
      <c r="L49" s="213" t="s">
        <v>30</v>
      </c>
      <c r="M49" s="205"/>
      <c r="N49" s="206"/>
      <c r="O49" s="207"/>
      <c r="P49" s="208"/>
      <c r="Q49" s="209">
        <f>Расчёт[[#This Row],[5
Кол-во]]*Расчёт[[#This Row],[16
Вес]]</f>
        <v>0</v>
      </c>
      <c r="R49" s="208"/>
      <c r="S49" s="209">
        <f>Расчёт[[#This Row],[5
Кол-во]]*Расчёт[[#This Row],[18
Объём]]</f>
        <v>0</v>
      </c>
      <c r="T49" s="212" t="s">
        <v>21</v>
      </c>
      <c r="U49" s="197">
        <v>762</v>
      </c>
      <c r="V49" s="210" t="s">
        <v>21</v>
      </c>
      <c r="W49" s="219">
        <v>553.21199999999999</v>
      </c>
      <c r="X49" s="198" t="s">
        <v>30</v>
      </c>
      <c r="Y49" s="211">
        <f>Расчёт[[#This Row],[5
Кол-во]]*Расчёт[[#This Row],[21
Цена GPL]]</f>
        <v>1524</v>
      </c>
      <c r="Z49" s="211">
        <f>Расчёт[[#This Row],[5
Кол-во]]*Расчёт[[#This Row],[23
Цена Вход]]</f>
        <v>1106.424</v>
      </c>
    </row>
    <row r="50" spans="1:26" x14ac:dyDescent="0.25">
      <c r="A50" s="199" t="s">
        <v>293</v>
      </c>
      <c r="B50" s="200" t="s">
        <v>226</v>
      </c>
      <c r="C50" s="201" t="s">
        <v>294</v>
      </c>
      <c r="D50" s="202" t="s">
        <v>295</v>
      </c>
      <c r="E50" s="203">
        <v>4</v>
      </c>
      <c r="F50" s="204" t="s">
        <v>29</v>
      </c>
      <c r="G5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1070</v>
      </c>
      <c r="H50" s="196">
        <f t="shared" si="6"/>
        <v>4280</v>
      </c>
      <c r="I50" s="153">
        <f t="shared" si="7"/>
        <v>0.27400000000000008</v>
      </c>
      <c r="J5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776.81999999999994</v>
      </c>
      <c r="K50" s="231">
        <f>Расчёт[[#This Row],[5
Кол-во]]*Расчёт[[#This Row],[10
Цена Вход]]</f>
        <v>3107.2799999999997</v>
      </c>
      <c r="L50" s="213" t="s">
        <v>30</v>
      </c>
      <c r="M50" s="205"/>
      <c r="N50" s="206"/>
      <c r="O50" s="207"/>
      <c r="P50" s="208"/>
      <c r="Q50" s="209">
        <f>Расчёт[[#This Row],[5
Кол-во]]*Расчёт[[#This Row],[16
Вес]]</f>
        <v>0</v>
      </c>
      <c r="R50" s="208"/>
      <c r="S50" s="209">
        <f>Расчёт[[#This Row],[5
Кол-во]]*Расчёт[[#This Row],[18
Объём]]</f>
        <v>0</v>
      </c>
      <c r="T50" s="212" t="s">
        <v>21</v>
      </c>
      <c r="U50" s="197">
        <v>1070</v>
      </c>
      <c r="V50" s="210" t="s">
        <v>21</v>
      </c>
      <c r="W50" s="219">
        <v>776.81999999999994</v>
      </c>
      <c r="X50" s="198" t="s">
        <v>30</v>
      </c>
      <c r="Y50" s="211">
        <f>Расчёт[[#This Row],[5
Кол-во]]*Расчёт[[#This Row],[21
Цена GPL]]</f>
        <v>4280</v>
      </c>
      <c r="Z50" s="211">
        <f>Расчёт[[#This Row],[5
Кол-во]]*Расчёт[[#This Row],[23
Цена Вход]]</f>
        <v>3107.2799999999997</v>
      </c>
    </row>
    <row r="51" spans="1:26" ht="26.4" x14ac:dyDescent="0.25">
      <c r="A51" s="199" t="s">
        <v>296</v>
      </c>
      <c r="B51" s="200" t="s">
        <v>297</v>
      </c>
      <c r="C51" s="201" t="s">
        <v>298</v>
      </c>
      <c r="D51" s="202" t="s">
        <v>299</v>
      </c>
      <c r="E51" s="203">
        <v>4</v>
      </c>
      <c r="F51" s="204" t="s">
        <v>29</v>
      </c>
      <c r="G5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51" s="196">
        <f t="shared" si="6"/>
        <v>0</v>
      </c>
      <c r="I51" s="153" t="str">
        <f t="shared" si="7"/>
        <v/>
      </c>
      <c r="J5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20</v>
      </c>
      <c r="K51" s="231">
        <f>Расчёт[[#This Row],[5
Кол-во]]*Расчёт[[#This Row],[10
Цена Вход]]</f>
        <v>80</v>
      </c>
      <c r="L51" s="213" t="s">
        <v>30</v>
      </c>
      <c r="M51" s="205"/>
      <c r="N51" s="206"/>
      <c r="O51" s="207"/>
      <c r="P51" s="208"/>
      <c r="Q51" s="209">
        <f>Расчёт[[#This Row],[5
Кол-во]]*Расчёт[[#This Row],[16
Вес]]</f>
        <v>0</v>
      </c>
      <c r="R51" s="208"/>
      <c r="S51" s="209">
        <f>Расчёт[[#This Row],[5
Кол-во]]*Расчёт[[#This Row],[18
Объём]]</f>
        <v>0</v>
      </c>
      <c r="T51" s="212" t="s">
        <v>21</v>
      </c>
      <c r="U51" s="197">
        <v>0</v>
      </c>
      <c r="V51" s="210" t="s">
        <v>21</v>
      </c>
      <c r="W51" s="219">
        <v>20</v>
      </c>
      <c r="X51" s="198" t="s">
        <v>30</v>
      </c>
      <c r="Y51" s="211">
        <f>Расчёт[[#This Row],[5
Кол-во]]*Расчёт[[#This Row],[21
Цена GPL]]</f>
        <v>0</v>
      </c>
      <c r="Z51" s="211">
        <f>Расчёт[[#This Row],[5
Кол-во]]*Расчёт[[#This Row],[23
Цена Вход]]</f>
        <v>80</v>
      </c>
    </row>
    <row r="52" spans="1:26" x14ac:dyDescent="0.25">
      <c r="A52" s="199" t="s">
        <v>300</v>
      </c>
      <c r="B52" s="200"/>
      <c r="C52" s="201"/>
      <c r="D52" s="202" t="s">
        <v>301</v>
      </c>
      <c r="E52" s="203"/>
      <c r="F52" s="204"/>
      <c r="G5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52" s="196">
        <f t="shared" si="6"/>
        <v>0</v>
      </c>
      <c r="I52" s="153" t="str">
        <f t="shared" si="7"/>
        <v/>
      </c>
      <c r="J5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52" s="231">
        <f>Расчёт[[#This Row],[5
Кол-во]]*Расчёт[[#This Row],[10
Цена Вход]]</f>
        <v>0</v>
      </c>
      <c r="L52" s="213" t="s">
        <v>30</v>
      </c>
      <c r="M52" s="205"/>
      <c r="N52" s="206"/>
      <c r="O52" s="207"/>
      <c r="P52" s="208"/>
      <c r="Q52" s="209">
        <f>Расчёт[[#This Row],[5
Кол-во]]*Расчёт[[#This Row],[16
Вес]]</f>
        <v>0</v>
      </c>
      <c r="R52" s="208"/>
      <c r="S52" s="209">
        <f>Расчёт[[#This Row],[5
Кол-во]]*Расчёт[[#This Row],[18
Объём]]</f>
        <v>0</v>
      </c>
      <c r="T52" s="212" t="s">
        <v>21</v>
      </c>
      <c r="U52" s="197">
        <v>0</v>
      </c>
      <c r="V52" s="210" t="s">
        <v>21</v>
      </c>
      <c r="W52" s="219">
        <v>0</v>
      </c>
      <c r="X52" s="198" t="s">
        <v>30</v>
      </c>
      <c r="Y52" s="211">
        <f>Расчёт[[#This Row],[5
Кол-во]]*Расчёт[[#This Row],[21
Цена GPL]]</f>
        <v>0</v>
      </c>
      <c r="Z52" s="211">
        <f>Расчёт[[#This Row],[5
Кол-во]]*Расчёт[[#This Row],[23
Цена Вход]]</f>
        <v>0</v>
      </c>
    </row>
    <row r="53" spans="1:26" ht="26.4" x14ac:dyDescent="0.25">
      <c r="A53" s="199" t="s">
        <v>302</v>
      </c>
      <c r="B53" s="200" t="s">
        <v>303</v>
      </c>
      <c r="C53" s="201" t="s">
        <v>304</v>
      </c>
      <c r="D53" s="202" t="s">
        <v>305</v>
      </c>
      <c r="E53" s="203">
        <v>30</v>
      </c>
      <c r="F53" s="204" t="s">
        <v>29</v>
      </c>
      <c r="G5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500</v>
      </c>
      <c r="H53" s="196">
        <f t="shared" si="6"/>
        <v>15000</v>
      </c>
      <c r="I53" s="153">
        <f t="shared" si="7"/>
        <v>0.1</v>
      </c>
      <c r="J5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450</v>
      </c>
      <c r="K53" s="231">
        <f>Расчёт[[#This Row],[5
Кол-во]]*Расчёт[[#This Row],[10
Цена Вход]]</f>
        <v>13500</v>
      </c>
      <c r="L53" s="213" t="s">
        <v>30</v>
      </c>
      <c r="M53" s="205"/>
      <c r="N53" s="206"/>
      <c r="O53" s="207"/>
      <c r="P53" s="208"/>
      <c r="Q53" s="209">
        <f>Расчёт[[#This Row],[5
Кол-во]]*Расчёт[[#This Row],[16
Вес]]</f>
        <v>0</v>
      </c>
      <c r="R53" s="208"/>
      <c r="S53" s="209">
        <f>Расчёт[[#This Row],[5
Кол-во]]*Расчёт[[#This Row],[18
Объём]]</f>
        <v>0</v>
      </c>
      <c r="T53" s="212" t="s">
        <v>21</v>
      </c>
      <c r="U53" s="197">
        <v>500</v>
      </c>
      <c r="V53" s="210" t="s">
        <v>21</v>
      </c>
      <c r="W53" s="219">
        <v>450</v>
      </c>
      <c r="X53" s="198" t="s">
        <v>30</v>
      </c>
      <c r="Y53" s="211">
        <f>Расчёт[[#This Row],[5
Кол-во]]*Расчёт[[#This Row],[21
Цена GPL]]</f>
        <v>15000</v>
      </c>
      <c r="Z53" s="211">
        <f>Расчёт[[#This Row],[5
Кол-во]]*Расчёт[[#This Row],[23
Цена Вход]]</f>
        <v>13500</v>
      </c>
    </row>
    <row r="54" spans="1:26" x14ac:dyDescent="0.25">
      <c r="A54" s="199" t="s">
        <v>306</v>
      </c>
      <c r="B54" s="200" t="s">
        <v>307</v>
      </c>
      <c r="C54" s="201" t="s">
        <v>308</v>
      </c>
      <c r="D54" s="202" t="s">
        <v>309</v>
      </c>
      <c r="E54" s="203">
        <v>1</v>
      </c>
      <c r="F54" s="204" t="s">
        <v>29</v>
      </c>
      <c r="G5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500</v>
      </c>
      <c r="H54" s="196">
        <f t="shared" ref="H54:H73" si="8">E54*G54</f>
        <v>500</v>
      </c>
      <c r="I54" s="153">
        <f t="shared" ref="I54:I73" si="9">IFERROR((G54-J54)/G54,"")</f>
        <v>0.35199999999999998</v>
      </c>
      <c r="J5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324</v>
      </c>
      <c r="K54" s="231">
        <f>Расчёт[[#This Row],[5
Кол-во]]*Расчёт[[#This Row],[10
Цена Вход]]</f>
        <v>324</v>
      </c>
      <c r="L54" s="213" t="s">
        <v>30</v>
      </c>
      <c r="M54" s="205"/>
      <c r="N54" s="206"/>
      <c r="O54" s="207"/>
      <c r="P54" s="208"/>
      <c r="Q54" s="209">
        <f>Расчёт[[#This Row],[5
Кол-во]]*Расчёт[[#This Row],[16
Вес]]</f>
        <v>0</v>
      </c>
      <c r="R54" s="208"/>
      <c r="S54" s="209">
        <f>Расчёт[[#This Row],[5
Кол-во]]*Расчёт[[#This Row],[18
Объём]]</f>
        <v>0</v>
      </c>
      <c r="T54" s="212" t="s">
        <v>21</v>
      </c>
      <c r="U54" s="197">
        <v>500</v>
      </c>
      <c r="V54" s="210" t="s">
        <v>21</v>
      </c>
      <c r="W54" s="219">
        <v>324</v>
      </c>
      <c r="X54" s="198" t="s">
        <v>30</v>
      </c>
      <c r="Y54" s="211">
        <f>Расчёт[[#This Row],[5
Кол-во]]*Расчёт[[#This Row],[21
Цена GPL]]</f>
        <v>500</v>
      </c>
      <c r="Z54" s="211">
        <f>Расчёт[[#This Row],[5
Кол-во]]*Расчёт[[#This Row],[23
Цена Вход]]</f>
        <v>324</v>
      </c>
    </row>
    <row r="55" spans="1:26" ht="39.6" x14ac:dyDescent="0.25">
      <c r="A55" s="199" t="s">
        <v>310</v>
      </c>
      <c r="B55" s="200" t="s">
        <v>226</v>
      </c>
      <c r="C55" s="201" t="s">
        <v>311</v>
      </c>
      <c r="D55" s="202" t="s">
        <v>312</v>
      </c>
      <c r="E55" s="203">
        <v>1</v>
      </c>
      <c r="F55" s="204" t="s">
        <v>29</v>
      </c>
      <c r="G5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1341</v>
      </c>
      <c r="H55" s="196">
        <f t="shared" si="8"/>
        <v>1341</v>
      </c>
      <c r="I55" s="153">
        <f t="shared" si="9"/>
        <v>0.43698732289336317</v>
      </c>
      <c r="J5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755</v>
      </c>
      <c r="K55" s="231">
        <f>Расчёт[[#This Row],[5
Кол-во]]*Расчёт[[#This Row],[10
Цена Вход]]</f>
        <v>755</v>
      </c>
      <c r="L55" s="213" t="s">
        <v>30</v>
      </c>
      <c r="M55" s="205"/>
      <c r="N55" s="206"/>
      <c r="O55" s="207"/>
      <c r="P55" s="208"/>
      <c r="Q55" s="209">
        <f>Расчёт[[#This Row],[5
Кол-во]]*Расчёт[[#This Row],[16
Вес]]</f>
        <v>0</v>
      </c>
      <c r="R55" s="208"/>
      <c r="S55" s="209">
        <f>Расчёт[[#This Row],[5
Кол-во]]*Расчёт[[#This Row],[18
Объём]]</f>
        <v>0</v>
      </c>
      <c r="T55" s="212" t="s">
        <v>21</v>
      </c>
      <c r="U55" s="197">
        <v>1341</v>
      </c>
      <c r="V55" s="210" t="s">
        <v>21</v>
      </c>
      <c r="W55" s="219">
        <v>755</v>
      </c>
      <c r="X55" s="198" t="s">
        <v>30</v>
      </c>
      <c r="Y55" s="211">
        <f>Расчёт[[#This Row],[5
Кол-во]]*Расчёт[[#This Row],[21
Цена GPL]]</f>
        <v>1341</v>
      </c>
      <c r="Z55" s="211">
        <f>Расчёт[[#This Row],[5
Кол-во]]*Расчёт[[#This Row],[23
Цена Вход]]</f>
        <v>755</v>
      </c>
    </row>
    <row r="56" spans="1:26" ht="26.4" x14ac:dyDescent="0.25">
      <c r="A56" s="199" t="s">
        <v>313</v>
      </c>
      <c r="B56" s="200"/>
      <c r="C56" s="201" t="s">
        <v>314</v>
      </c>
      <c r="D56" s="202" t="s">
        <v>315</v>
      </c>
      <c r="E56" s="203">
        <v>6</v>
      </c>
      <c r="F56" s="204" t="s">
        <v>29</v>
      </c>
      <c r="G5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56" s="196">
        <f t="shared" si="8"/>
        <v>0</v>
      </c>
      <c r="I56" s="153" t="str">
        <f t="shared" si="9"/>
        <v/>
      </c>
      <c r="J5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18.600000000000001</v>
      </c>
      <c r="K56" s="231">
        <f>Расчёт[[#This Row],[5
Кол-во]]*Расчёт[[#This Row],[10
Цена Вход]]</f>
        <v>111.60000000000001</v>
      </c>
      <c r="L56" s="213" t="s">
        <v>30</v>
      </c>
      <c r="M56" s="205"/>
      <c r="N56" s="206"/>
      <c r="O56" s="207"/>
      <c r="P56" s="208"/>
      <c r="Q56" s="209">
        <f>Расчёт[[#This Row],[5
Кол-во]]*Расчёт[[#This Row],[16
Вес]]</f>
        <v>0</v>
      </c>
      <c r="R56" s="208"/>
      <c r="S56" s="209">
        <f>Расчёт[[#This Row],[5
Кол-во]]*Расчёт[[#This Row],[18
Объём]]</f>
        <v>0</v>
      </c>
      <c r="T56" s="212" t="s">
        <v>21</v>
      </c>
      <c r="U56" s="197">
        <v>0</v>
      </c>
      <c r="V56" s="210" t="s">
        <v>20</v>
      </c>
      <c r="W56" s="219">
        <v>1116</v>
      </c>
      <c r="X56" s="198" t="s">
        <v>30</v>
      </c>
      <c r="Y56" s="211">
        <f>Расчёт[[#This Row],[5
Кол-во]]*Расчёт[[#This Row],[21
Цена GPL]]</f>
        <v>0</v>
      </c>
      <c r="Z56" s="211">
        <f>Расчёт[[#This Row],[5
Кол-во]]*Расчёт[[#This Row],[23
Цена Вход]]</f>
        <v>6696</v>
      </c>
    </row>
    <row r="57" spans="1:26" ht="26.4" x14ac:dyDescent="0.25">
      <c r="A57" s="199" t="s">
        <v>316</v>
      </c>
      <c r="B57" s="200"/>
      <c r="C57" s="201" t="s">
        <v>317</v>
      </c>
      <c r="D57" s="202" t="s">
        <v>318</v>
      </c>
      <c r="E57" s="203">
        <v>8</v>
      </c>
      <c r="F57" s="204" t="s">
        <v>29</v>
      </c>
      <c r="G5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57" s="196">
        <f t="shared" si="8"/>
        <v>0</v>
      </c>
      <c r="I57" s="153" t="str">
        <f t="shared" si="9"/>
        <v/>
      </c>
      <c r="J5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19.633333333333333</v>
      </c>
      <c r="K57" s="231">
        <f>Расчёт[[#This Row],[5
Кол-во]]*Расчёт[[#This Row],[10
Цена Вход]]</f>
        <v>157.06666666666666</v>
      </c>
      <c r="L57" s="213" t="s">
        <v>30</v>
      </c>
      <c r="M57" s="205"/>
      <c r="N57" s="206"/>
      <c r="O57" s="207"/>
      <c r="P57" s="208"/>
      <c r="Q57" s="209">
        <f>Расчёт[[#This Row],[5
Кол-во]]*Расчёт[[#This Row],[16
Вес]]</f>
        <v>0</v>
      </c>
      <c r="R57" s="208"/>
      <c r="S57" s="209">
        <f>Расчёт[[#This Row],[5
Кол-во]]*Расчёт[[#This Row],[18
Объём]]</f>
        <v>0</v>
      </c>
      <c r="T57" s="212" t="s">
        <v>21</v>
      </c>
      <c r="U57" s="197">
        <v>0</v>
      </c>
      <c r="V57" s="210" t="s">
        <v>20</v>
      </c>
      <c r="W57" s="219">
        <v>1178</v>
      </c>
      <c r="X57" s="198" t="s">
        <v>30</v>
      </c>
      <c r="Y57" s="211">
        <f>Расчёт[[#This Row],[5
Кол-во]]*Расчёт[[#This Row],[21
Цена GPL]]</f>
        <v>0</v>
      </c>
      <c r="Z57" s="211">
        <f>Расчёт[[#This Row],[5
Кол-во]]*Расчёт[[#This Row],[23
Цена Вход]]</f>
        <v>9424</v>
      </c>
    </row>
    <row r="58" spans="1:26" x14ac:dyDescent="0.25">
      <c r="A58" s="199" t="s">
        <v>319</v>
      </c>
      <c r="B58" s="200" t="s">
        <v>320</v>
      </c>
      <c r="C58" s="201">
        <v>17404</v>
      </c>
      <c r="D58" s="202" t="s">
        <v>321</v>
      </c>
      <c r="E58" s="203">
        <v>2</v>
      </c>
      <c r="F58" s="204" t="s">
        <v>29</v>
      </c>
      <c r="G5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4664</v>
      </c>
      <c r="H58" s="196">
        <f t="shared" si="8"/>
        <v>9328</v>
      </c>
      <c r="I58" s="153">
        <f t="shared" si="9"/>
        <v>0.5</v>
      </c>
      <c r="J5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2332</v>
      </c>
      <c r="K58" s="231">
        <f>Расчёт[[#This Row],[5
Кол-во]]*Расчёт[[#This Row],[10
Цена Вход]]</f>
        <v>4664</v>
      </c>
      <c r="L58" s="213" t="s">
        <v>30</v>
      </c>
      <c r="M58" s="205"/>
      <c r="N58" s="206"/>
      <c r="O58" s="207"/>
      <c r="P58" s="208"/>
      <c r="Q58" s="209">
        <f>Расчёт[[#This Row],[5
Кол-во]]*Расчёт[[#This Row],[16
Вес]]</f>
        <v>0</v>
      </c>
      <c r="R58" s="208"/>
      <c r="S58" s="209">
        <f>Расчёт[[#This Row],[5
Кол-во]]*Расчёт[[#This Row],[18
Объём]]</f>
        <v>0</v>
      </c>
      <c r="T58" s="212" t="s">
        <v>21</v>
      </c>
      <c r="U58" s="197">
        <v>4664</v>
      </c>
      <c r="V58" s="210" t="s">
        <v>21</v>
      </c>
      <c r="W58" s="219">
        <v>2332</v>
      </c>
      <c r="X58" s="198" t="s">
        <v>30</v>
      </c>
      <c r="Y58" s="211">
        <f>Расчёт[[#This Row],[5
Кол-во]]*Расчёт[[#This Row],[21
Цена GPL]]</f>
        <v>9328</v>
      </c>
      <c r="Z58" s="211">
        <f>Расчёт[[#This Row],[5
Кол-во]]*Расчёт[[#This Row],[23
Цена Вход]]</f>
        <v>4664</v>
      </c>
    </row>
    <row r="59" spans="1:26" x14ac:dyDescent="0.25">
      <c r="A59" s="199" t="s">
        <v>322</v>
      </c>
      <c r="B59" s="200" t="s">
        <v>320</v>
      </c>
      <c r="C59" s="201">
        <v>16566</v>
      </c>
      <c r="D59" s="202" t="s">
        <v>323</v>
      </c>
      <c r="E59" s="203">
        <v>1</v>
      </c>
      <c r="F59" s="204" t="s">
        <v>29</v>
      </c>
      <c r="G5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709</v>
      </c>
      <c r="H59" s="196">
        <f t="shared" si="8"/>
        <v>709</v>
      </c>
      <c r="I59" s="153">
        <f t="shared" si="9"/>
        <v>0.5</v>
      </c>
      <c r="J5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354.5</v>
      </c>
      <c r="K59" s="231">
        <f>Расчёт[[#This Row],[5
Кол-во]]*Расчёт[[#This Row],[10
Цена Вход]]</f>
        <v>354.5</v>
      </c>
      <c r="L59" s="213" t="s">
        <v>30</v>
      </c>
      <c r="M59" s="205"/>
      <c r="N59" s="206"/>
      <c r="O59" s="207"/>
      <c r="P59" s="208"/>
      <c r="Q59" s="209">
        <f>Расчёт[[#This Row],[5
Кол-во]]*Расчёт[[#This Row],[16
Вес]]</f>
        <v>0</v>
      </c>
      <c r="R59" s="208"/>
      <c r="S59" s="209">
        <f>Расчёт[[#This Row],[5
Кол-во]]*Расчёт[[#This Row],[18
Объём]]</f>
        <v>0</v>
      </c>
      <c r="T59" s="212" t="s">
        <v>21</v>
      </c>
      <c r="U59" s="197">
        <v>709</v>
      </c>
      <c r="V59" s="210" t="s">
        <v>21</v>
      </c>
      <c r="W59" s="219">
        <v>354.5</v>
      </c>
      <c r="X59" s="198" t="s">
        <v>30</v>
      </c>
      <c r="Y59" s="211">
        <f>Расчёт[[#This Row],[5
Кол-во]]*Расчёт[[#This Row],[21
Цена GPL]]</f>
        <v>709</v>
      </c>
      <c r="Z59" s="211">
        <f>Расчёт[[#This Row],[5
Кол-во]]*Расчёт[[#This Row],[23
Цена Вход]]</f>
        <v>354.5</v>
      </c>
    </row>
    <row r="60" spans="1:26" ht="39.6" x14ac:dyDescent="0.25">
      <c r="A60" s="199" t="s">
        <v>324</v>
      </c>
      <c r="B60" s="200" t="s">
        <v>320</v>
      </c>
      <c r="C60" s="201">
        <v>10301</v>
      </c>
      <c r="D60" s="202" t="s">
        <v>325</v>
      </c>
      <c r="E60" s="203">
        <v>8</v>
      </c>
      <c r="F60" s="204" t="s">
        <v>29</v>
      </c>
      <c r="G6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1632</v>
      </c>
      <c r="H60" s="196">
        <f t="shared" si="8"/>
        <v>13056</v>
      </c>
      <c r="I60" s="153">
        <f t="shared" si="9"/>
        <v>0.5</v>
      </c>
      <c r="J6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816</v>
      </c>
      <c r="K60" s="231">
        <f>Расчёт[[#This Row],[5
Кол-во]]*Расчёт[[#This Row],[10
Цена Вход]]</f>
        <v>6528</v>
      </c>
      <c r="L60" s="213" t="s">
        <v>30</v>
      </c>
      <c r="M60" s="205"/>
      <c r="N60" s="206"/>
      <c r="O60" s="207"/>
      <c r="P60" s="208"/>
      <c r="Q60" s="209">
        <f>Расчёт[[#This Row],[5
Кол-во]]*Расчёт[[#This Row],[16
Вес]]</f>
        <v>0</v>
      </c>
      <c r="R60" s="208"/>
      <c r="S60" s="209">
        <f>Расчёт[[#This Row],[5
Кол-во]]*Расчёт[[#This Row],[18
Объём]]</f>
        <v>0</v>
      </c>
      <c r="T60" s="212" t="s">
        <v>21</v>
      </c>
      <c r="U60" s="197">
        <v>1632</v>
      </c>
      <c r="V60" s="210" t="s">
        <v>21</v>
      </c>
      <c r="W60" s="219">
        <v>816</v>
      </c>
      <c r="X60" s="198" t="s">
        <v>30</v>
      </c>
      <c r="Y60" s="211">
        <f>Расчёт[[#This Row],[5
Кол-во]]*Расчёт[[#This Row],[21
Цена GPL]]</f>
        <v>13056</v>
      </c>
      <c r="Z60" s="211">
        <f>Расчёт[[#This Row],[5
Кол-во]]*Расчёт[[#This Row],[23
Цена Вход]]</f>
        <v>6528</v>
      </c>
    </row>
    <row r="61" spans="1:26" ht="26.4" x14ac:dyDescent="0.25">
      <c r="A61" s="199" t="s">
        <v>326</v>
      </c>
      <c r="B61" s="200" t="s">
        <v>297</v>
      </c>
      <c r="C61" s="201" t="s">
        <v>298</v>
      </c>
      <c r="D61" s="202" t="s">
        <v>327</v>
      </c>
      <c r="E61" s="203">
        <v>8</v>
      </c>
      <c r="F61" s="204" t="s">
        <v>29</v>
      </c>
      <c r="G6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61" s="196">
        <f t="shared" si="8"/>
        <v>0</v>
      </c>
      <c r="I61" s="153" t="str">
        <f t="shared" si="9"/>
        <v/>
      </c>
      <c r="J6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16</v>
      </c>
      <c r="K61" s="231">
        <f>Расчёт[[#This Row],[5
Кол-во]]*Расчёт[[#This Row],[10
Цена Вход]]</f>
        <v>128</v>
      </c>
      <c r="L61" s="213" t="s">
        <v>30</v>
      </c>
      <c r="M61" s="205"/>
      <c r="N61" s="206"/>
      <c r="O61" s="207"/>
      <c r="P61" s="208"/>
      <c r="Q61" s="209">
        <f>Расчёт[[#This Row],[5
Кол-во]]*Расчёт[[#This Row],[16
Вес]]</f>
        <v>0</v>
      </c>
      <c r="R61" s="208"/>
      <c r="S61" s="209">
        <f>Расчёт[[#This Row],[5
Кол-во]]*Расчёт[[#This Row],[18
Объём]]</f>
        <v>0</v>
      </c>
      <c r="T61" s="212" t="s">
        <v>21</v>
      </c>
      <c r="U61" s="197">
        <v>0</v>
      </c>
      <c r="V61" s="210" t="s">
        <v>21</v>
      </c>
      <c r="W61" s="219">
        <v>16</v>
      </c>
      <c r="X61" s="198" t="s">
        <v>30</v>
      </c>
      <c r="Y61" s="211">
        <f>Расчёт[[#This Row],[5
Кол-во]]*Расчёт[[#This Row],[21
Цена GPL]]</f>
        <v>0</v>
      </c>
      <c r="Z61" s="211">
        <f>Расчёт[[#This Row],[5
Кол-во]]*Расчёт[[#This Row],[23
Цена Вход]]</f>
        <v>128</v>
      </c>
    </row>
    <row r="62" spans="1:26" ht="26.4" x14ac:dyDescent="0.25">
      <c r="A62" s="199" t="s">
        <v>328</v>
      </c>
      <c r="B62" s="200" t="s">
        <v>320</v>
      </c>
      <c r="C62" s="201" t="s">
        <v>329</v>
      </c>
      <c r="D62" s="202" t="s">
        <v>330</v>
      </c>
      <c r="E62" s="203">
        <v>8</v>
      </c>
      <c r="F62" s="204" t="s">
        <v>29</v>
      </c>
      <c r="G6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676</v>
      </c>
      <c r="H62" s="196">
        <f t="shared" si="8"/>
        <v>5408</v>
      </c>
      <c r="I62" s="153">
        <f t="shared" si="9"/>
        <v>0.5</v>
      </c>
      <c r="J6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338</v>
      </c>
      <c r="K62" s="231">
        <f>Расчёт[[#This Row],[5
Кол-во]]*Расчёт[[#This Row],[10
Цена Вход]]</f>
        <v>2704</v>
      </c>
      <c r="L62" s="213" t="s">
        <v>30</v>
      </c>
      <c r="M62" s="205"/>
      <c r="N62" s="206"/>
      <c r="O62" s="207"/>
      <c r="P62" s="208"/>
      <c r="Q62" s="209">
        <f>Расчёт[[#This Row],[5
Кол-во]]*Расчёт[[#This Row],[16
Вес]]</f>
        <v>0</v>
      </c>
      <c r="R62" s="208"/>
      <c r="S62" s="209">
        <f>Расчёт[[#This Row],[5
Кол-во]]*Расчёт[[#This Row],[18
Объём]]</f>
        <v>0</v>
      </c>
      <c r="T62" s="212" t="s">
        <v>21</v>
      </c>
      <c r="U62" s="197">
        <v>676</v>
      </c>
      <c r="V62" s="210" t="s">
        <v>21</v>
      </c>
      <c r="W62" s="219">
        <v>338</v>
      </c>
      <c r="X62" s="198" t="s">
        <v>30</v>
      </c>
      <c r="Y62" s="211">
        <f>Расчёт[[#This Row],[5
Кол-во]]*Расчёт[[#This Row],[21
Цена GPL]]</f>
        <v>5408</v>
      </c>
      <c r="Z62" s="211">
        <f>Расчёт[[#This Row],[5
Кол-во]]*Расчёт[[#This Row],[23
Цена Вход]]</f>
        <v>2704</v>
      </c>
    </row>
    <row r="63" spans="1:26" ht="26.4" x14ac:dyDescent="0.25">
      <c r="A63" s="199" t="s">
        <v>331</v>
      </c>
      <c r="B63" s="200" t="s">
        <v>297</v>
      </c>
      <c r="C63" s="201" t="s">
        <v>332</v>
      </c>
      <c r="D63" s="202" t="s">
        <v>333</v>
      </c>
      <c r="E63" s="203">
        <v>8</v>
      </c>
      <c r="F63" s="204" t="s">
        <v>29</v>
      </c>
      <c r="G6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63" s="196">
        <f t="shared" si="8"/>
        <v>0</v>
      </c>
      <c r="I63" s="153" t="str">
        <f t="shared" si="9"/>
        <v/>
      </c>
      <c r="J6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</v>
      </c>
      <c r="K63" s="231">
        <f>Расчёт[[#This Row],[5
Кол-во]]*Расчёт[[#This Row],[10
Цена Вход]]</f>
        <v>48</v>
      </c>
      <c r="L63" s="213" t="s">
        <v>30</v>
      </c>
      <c r="M63" s="205"/>
      <c r="N63" s="206"/>
      <c r="O63" s="207"/>
      <c r="P63" s="208"/>
      <c r="Q63" s="209">
        <f>Расчёт[[#This Row],[5
Кол-во]]*Расчёт[[#This Row],[16
Вес]]</f>
        <v>0</v>
      </c>
      <c r="R63" s="208"/>
      <c r="S63" s="209">
        <f>Расчёт[[#This Row],[5
Кол-во]]*Расчёт[[#This Row],[18
Объём]]</f>
        <v>0</v>
      </c>
      <c r="T63" s="212" t="s">
        <v>21</v>
      </c>
      <c r="U63" s="197">
        <v>0</v>
      </c>
      <c r="V63" s="210" t="s">
        <v>21</v>
      </c>
      <c r="W63" s="219">
        <v>6</v>
      </c>
      <c r="X63" s="198" t="s">
        <v>30</v>
      </c>
      <c r="Y63" s="211">
        <f>Расчёт[[#This Row],[5
Кол-во]]*Расчёт[[#This Row],[21
Цена GPL]]</f>
        <v>0</v>
      </c>
      <c r="Z63" s="211">
        <f>Расчёт[[#This Row],[5
Кол-во]]*Расчёт[[#This Row],[23
Цена Вход]]</f>
        <v>48</v>
      </c>
    </row>
    <row r="64" spans="1:26" x14ac:dyDescent="0.25">
      <c r="A64" s="199" t="s">
        <v>334</v>
      </c>
      <c r="B64" s="200" t="s">
        <v>335</v>
      </c>
      <c r="C64" s="201" t="s">
        <v>336</v>
      </c>
      <c r="D64" s="202" t="s">
        <v>337</v>
      </c>
      <c r="E64" s="203">
        <v>30</v>
      </c>
      <c r="F64" s="204" t="s">
        <v>29</v>
      </c>
      <c r="G6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531</v>
      </c>
      <c r="H64" s="196">
        <f t="shared" si="8"/>
        <v>15930</v>
      </c>
      <c r="I64" s="153">
        <f t="shared" si="9"/>
        <v>0.10000000000000005</v>
      </c>
      <c r="J6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477.9</v>
      </c>
      <c r="K64" s="231">
        <f>Расчёт[[#This Row],[5
Кол-во]]*Расчёт[[#This Row],[10
Цена Вход]]</f>
        <v>14337</v>
      </c>
      <c r="L64" s="213" t="s">
        <v>30</v>
      </c>
      <c r="M64" s="205"/>
      <c r="N64" s="206"/>
      <c r="O64" s="207"/>
      <c r="P64" s="208"/>
      <c r="Q64" s="209">
        <f>Расчёт[[#This Row],[5
Кол-во]]*Расчёт[[#This Row],[16
Вес]]</f>
        <v>0</v>
      </c>
      <c r="R64" s="208"/>
      <c r="S64" s="209">
        <f>Расчёт[[#This Row],[5
Кол-во]]*Расчёт[[#This Row],[18
Объём]]</f>
        <v>0</v>
      </c>
      <c r="T64" s="212" t="s">
        <v>21</v>
      </c>
      <c r="U64" s="197">
        <v>531</v>
      </c>
      <c r="V64" s="210" t="s">
        <v>21</v>
      </c>
      <c r="W64" s="219">
        <v>477.9</v>
      </c>
      <c r="X64" s="198" t="s">
        <v>30</v>
      </c>
      <c r="Y64" s="211">
        <f>Расчёт[[#This Row],[5
Кол-во]]*Расчёт[[#This Row],[21
Цена GPL]]</f>
        <v>15930</v>
      </c>
      <c r="Z64" s="211">
        <f>Расчёт[[#This Row],[5
Кол-во]]*Расчёт[[#This Row],[23
Цена Вход]]</f>
        <v>14337</v>
      </c>
    </row>
    <row r="65" spans="1:26" x14ac:dyDescent="0.25">
      <c r="A65" s="199" t="s">
        <v>338</v>
      </c>
      <c r="B65" s="200" t="s">
        <v>335</v>
      </c>
      <c r="C65" s="201" t="s">
        <v>339</v>
      </c>
      <c r="D65" s="202" t="s">
        <v>340</v>
      </c>
      <c r="E65" s="203">
        <v>30</v>
      </c>
      <c r="F65" s="204" t="s">
        <v>29</v>
      </c>
      <c r="G6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118</v>
      </c>
      <c r="H65" s="196">
        <f t="shared" si="8"/>
        <v>3540</v>
      </c>
      <c r="I65" s="153">
        <f t="shared" si="9"/>
        <v>5.0000000000000051E-2</v>
      </c>
      <c r="J6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112.1</v>
      </c>
      <c r="K65" s="231">
        <f>Расчёт[[#This Row],[5
Кол-во]]*Расчёт[[#This Row],[10
Цена Вход]]</f>
        <v>3363</v>
      </c>
      <c r="L65" s="213" t="s">
        <v>30</v>
      </c>
      <c r="M65" s="205"/>
      <c r="N65" s="206"/>
      <c r="O65" s="207"/>
      <c r="P65" s="208"/>
      <c r="Q65" s="209">
        <f>Расчёт[[#This Row],[5
Кол-во]]*Расчёт[[#This Row],[16
Вес]]</f>
        <v>0</v>
      </c>
      <c r="R65" s="208"/>
      <c r="S65" s="209">
        <f>Расчёт[[#This Row],[5
Кол-во]]*Расчёт[[#This Row],[18
Объём]]</f>
        <v>0</v>
      </c>
      <c r="T65" s="212" t="s">
        <v>21</v>
      </c>
      <c r="U65" s="197">
        <v>118</v>
      </c>
      <c r="V65" s="210" t="s">
        <v>21</v>
      </c>
      <c r="W65" s="219">
        <v>112.1</v>
      </c>
      <c r="X65" s="198" t="s">
        <v>30</v>
      </c>
      <c r="Y65" s="211">
        <f>Расчёт[[#This Row],[5
Кол-во]]*Расчёт[[#This Row],[21
Цена GPL]]</f>
        <v>3540</v>
      </c>
      <c r="Z65" s="211">
        <f>Расчёт[[#This Row],[5
Кол-во]]*Расчёт[[#This Row],[23
Цена Вход]]</f>
        <v>3363</v>
      </c>
    </row>
    <row r="66" spans="1:26" x14ac:dyDescent="0.25">
      <c r="A66" s="199" t="s">
        <v>222</v>
      </c>
      <c r="B66" s="200"/>
      <c r="C66" s="201"/>
      <c r="D66" s="202" t="s">
        <v>341</v>
      </c>
      <c r="E66" s="203"/>
      <c r="F66" s="204"/>
      <c r="G6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66" s="196">
        <f t="shared" si="8"/>
        <v>0</v>
      </c>
      <c r="I66" s="153" t="str">
        <f t="shared" si="9"/>
        <v/>
      </c>
      <c r="J6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66" s="231">
        <f>Расчёт[[#This Row],[5
Кол-во]]*Расчёт[[#This Row],[10
Цена Вход]]</f>
        <v>0</v>
      </c>
      <c r="L66" s="213" t="s">
        <v>30</v>
      </c>
      <c r="M66" s="205"/>
      <c r="N66" s="206"/>
      <c r="O66" s="207"/>
      <c r="P66" s="208"/>
      <c r="Q66" s="209">
        <f>Расчёт[[#This Row],[5
Кол-во]]*Расчёт[[#This Row],[16
Вес]]</f>
        <v>0</v>
      </c>
      <c r="R66" s="208"/>
      <c r="S66" s="209">
        <f>Расчёт[[#This Row],[5
Кол-во]]*Расчёт[[#This Row],[18
Объём]]</f>
        <v>0</v>
      </c>
      <c r="T66" s="212" t="s">
        <v>21</v>
      </c>
      <c r="U66" s="197">
        <v>0</v>
      </c>
      <c r="V66" s="210" t="s">
        <v>21</v>
      </c>
      <c r="W66" s="219">
        <v>0</v>
      </c>
      <c r="X66" s="198" t="s">
        <v>30</v>
      </c>
      <c r="Y66" s="211">
        <f>Расчёт[[#This Row],[5
Кол-во]]*Расчёт[[#This Row],[21
Цена GPL]]</f>
        <v>0</v>
      </c>
      <c r="Z66" s="211">
        <f>Расчёт[[#This Row],[5
Кол-во]]*Расчёт[[#This Row],[23
Цена Вход]]</f>
        <v>0</v>
      </c>
    </row>
    <row r="67" spans="1:26" x14ac:dyDescent="0.25">
      <c r="A67" s="199" t="s">
        <v>342</v>
      </c>
      <c r="B67" s="200" t="s">
        <v>343</v>
      </c>
      <c r="C67" s="201">
        <v>700476005</v>
      </c>
      <c r="D67" s="202" t="s">
        <v>344</v>
      </c>
      <c r="E67" s="203">
        <v>1</v>
      </c>
      <c r="F67" s="204" t="s">
        <v>29</v>
      </c>
      <c r="G6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683</v>
      </c>
      <c r="H67" s="196">
        <f t="shared" si="8"/>
        <v>683</v>
      </c>
      <c r="I67" s="153">
        <f t="shared" si="9"/>
        <v>0.46660322108345537</v>
      </c>
      <c r="J6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364.31</v>
      </c>
      <c r="K67" s="231">
        <f>Расчёт[[#This Row],[5
Кол-во]]*Расчёт[[#This Row],[10
Цена Вход]]</f>
        <v>364.31</v>
      </c>
      <c r="L67" s="213" t="s">
        <v>30</v>
      </c>
      <c r="M67" s="205"/>
      <c r="N67" s="206"/>
      <c r="O67" s="207"/>
      <c r="P67" s="208"/>
      <c r="Q67" s="209">
        <f>Расчёт[[#This Row],[5
Кол-во]]*Расчёт[[#This Row],[16
Вес]]</f>
        <v>0</v>
      </c>
      <c r="R67" s="208"/>
      <c r="S67" s="209">
        <f>Расчёт[[#This Row],[5
Кол-во]]*Расчёт[[#This Row],[18
Объём]]</f>
        <v>0</v>
      </c>
      <c r="T67" s="212" t="s">
        <v>21</v>
      </c>
      <c r="U67" s="197">
        <v>683</v>
      </c>
      <c r="V67" s="210" t="s">
        <v>21</v>
      </c>
      <c r="W67" s="219">
        <v>364.31</v>
      </c>
      <c r="X67" s="198" t="s">
        <v>30</v>
      </c>
      <c r="Y67" s="211">
        <f>Расчёт[[#This Row],[5
Кол-во]]*Расчёт[[#This Row],[21
Цена GPL]]</f>
        <v>683</v>
      </c>
      <c r="Z67" s="211">
        <f>Расчёт[[#This Row],[5
Кол-во]]*Расчёт[[#This Row],[23
Цена Вход]]</f>
        <v>364.31</v>
      </c>
    </row>
    <row r="68" spans="1:26" ht="26.4" x14ac:dyDescent="0.25">
      <c r="A68" s="199" t="s">
        <v>345</v>
      </c>
      <c r="B68" s="200" t="s">
        <v>343</v>
      </c>
      <c r="C68" s="201">
        <v>700289762</v>
      </c>
      <c r="D68" s="202" t="s">
        <v>346</v>
      </c>
      <c r="E68" s="203">
        <v>2</v>
      </c>
      <c r="F68" s="204" t="s">
        <v>29</v>
      </c>
      <c r="G6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16</v>
      </c>
      <c r="H68" s="196">
        <f t="shared" si="8"/>
        <v>32</v>
      </c>
      <c r="I68" s="153">
        <f t="shared" si="9"/>
        <v>0.44187500000000002</v>
      </c>
      <c r="J6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8.93</v>
      </c>
      <c r="K68" s="231">
        <f>Расчёт[[#This Row],[5
Кол-во]]*Расчёт[[#This Row],[10
Цена Вход]]</f>
        <v>17.86</v>
      </c>
      <c r="L68" s="213" t="s">
        <v>30</v>
      </c>
      <c r="M68" s="205"/>
      <c r="N68" s="206"/>
      <c r="O68" s="207"/>
      <c r="P68" s="208"/>
      <c r="Q68" s="209">
        <f>Расчёт[[#This Row],[5
Кол-во]]*Расчёт[[#This Row],[16
Вес]]</f>
        <v>0</v>
      </c>
      <c r="R68" s="208"/>
      <c r="S68" s="209">
        <f>Расчёт[[#This Row],[5
Кол-во]]*Расчёт[[#This Row],[18
Объём]]</f>
        <v>0</v>
      </c>
      <c r="T68" s="212" t="s">
        <v>21</v>
      </c>
      <c r="U68" s="197">
        <v>16</v>
      </c>
      <c r="V68" s="210" t="s">
        <v>21</v>
      </c>
      <c r="W68" s="219">
        <v>8.93</v>
      </c>
      <c r="X68" s="198" t="s">
        <v>30</v>
      </c>
      <c r="Y68" s="211">
        <f>Расчёт[[#This Row],[5
Кол-во]]*Расчёт[[#This Row],[21
Цена GPL]]</f>
        <v>32</v>
      </c>
      <c r="Z68" s="211">
        <f>Расчёт[[#This Row],[5
Кол-во]]*Расчёт[[#This Row],[23
Цена Вход]]</f>
        <v>17.86</v>
      </c>
    </row>
    <row r="69" spans="1:26" x14ac:dyDescent="0.25">
      <c r="A69" s="199" t="s">
        <v>347</v>
      </c>
      <c r="B69" s="200" t="s">
        <v>343</v>
      </c>
      <c r="C69" s="201">
        <v>700429202</v>
      </c>
      <c r="D69" s="202" t="s">
        <v>348</v>
      </c>
      <c r="E69" s="203">
        <v>1</v>
      </c>
      <c r="F69" s="204" t="s">
        <v>29</v>
      </c>
      <c r="G6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63</v>
      </c>
      <c r="H69" s="196">
        <f t="shared" si="8"/>
        <v>63</v>
      </c>
      <c r="I69" s="153">
        <f t="shared" si="9"/>
        <v>0.42952380952380959</v>
      </c>
      <c r="J6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35.94</v>
      </c>
      <c r="K69" s="231">
        <f>Расчёт[[#This Row],[5
Кол-во]]*Расчёт[[#This Row],[10
Цена Вход]]</f>
        <v>35.94</v>
      </c>
      <c r="L69" s="213" t="s">
        <v>30</v>
      </c>
      <c r="M69" s="205"/>
      <c r="N69" s="206"/>
      <c r="O69" s="207"/>
      <c r="P69" s="208"/>
      <c r="Q69" s="209">
        <f>Расчёт[[#This Row],[5
Кол-во]]*Расчёт[[#This Row],[16
Вес]]</f>
        <v>0</v>
      </c>
      <c r="R69" s="208"/>
      <c r="S69" s="209">
        <f>Расчёт[[#This Row],[5
Кол-во]]*Расчёт[[#This Row],[18
Объём]]</f>
        <v>0</v>
      </c>
      <c r="T69" s="212" t="s">
        <v>21</v>
      </c>
      <c r="U69" s="197">
        <v>63</v>
      </c>
      <c r="V69" s="210" t="s">
        <v>21</v>
      </c>
      <c r="W69" s="219">
        <v>35.94</v>
      </c>
      <c r="X69" s="198" t="s">
        <v>30</v>
      </c>
      <c r="Y69" s="211">
        <f>Расчёт[[#This Row],[5
Кол-во]]*Расчёт[[#This Row],[21
Цена GPL]]</f>
        <v>63</v>
      </c>
      <c r="Z69" s="211">
        <f>Расчёт[[#This Row],[5
Кол-во]]*Расчёт[[#This Row],[23
Цена Вход]]</f>
        <v>35.94</v>
      </c>
    </row>
    <row r="70" spans="1:26" x14ac:dyDescent="0.25">
      <c r="A70" s="199" t="s">
        <v>349</v>
      </c>
      <c r="B70" s="200" t="s">
        <v>343</v>
      </c>
      <c r="C70" s="201">
        <v>700479702</v>
      </c>
      <c r="D70" s="202" t="s">
        <v>350</v>
      </c>
      <c r="E70" s="203">
        <v>1</v>
      </c>
      <c r="F70" s="204" t="s">
        <v>29</v>
      </c>
      <c r="G7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53</v>
      </c>
      <c r="H70" s="196">
        <f t="shared" si="8"/>
        <v>53</v>
      </c>
      <c r="I70" s="153">
        <f t="shared" si="9"/>
        <v>0.44169811320754715</v>
      </c>
      <c r="J7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29.59</v>
      </c>
      <c r="K70" s="231">
        <f>Расчёт[[#This Row],[5
Кол-во]]*Расчёт[[#This Row],[10
Цена Вход]]</f>
        <v>29.59</v>
      </c>
      <c r="L70" s="213" t="s">
        <v>30</v>
      </c>
      <c r="M70" s="205"/>
      <c r="N70" s="206"/>
      <c r="O70" s="207"/>
      <c r="P70" s="208"/>
      <c r="Q70" s="209">
        <f>Расчёт[[#This Row],[5
Кол-во]]*Расчёт[[#This Row],[16
Вес]]</f>
        <v>0</v>
      </c>
      <c r="R70" s="208"/>
      <c r="S70" s="209">
        <f>Расчёт[[#This Row],[5
Кол-во]]*Расчёт[[#This Row],[18
Объём]]</f>
        <v>0</v>
      </c>
      <c r="T70" s="212" t="s">
        <v>21</v>
      </c>
      <c r="U70" s="197">
        <v>53</v>
      </c>
      <c r="V70" s="210" t="s">
        <v>21</v>
      </c>
      <c r="W70" s="219">
        <v>29.59</v>
      </c>
      <c r="X70" s="198" t="s">
        <v>30</v>
      </c>
      <c r="Y70" s="211">
        <f>Расчёт[[#This Row],[5
Кол-во]]*Расчёт[[#This Row],[21
Цена GPL]]</f>
        <v>53</v>
      </c>
      <c r="Z70" s="211">
        <f>Расчёт[[#This Row],[5
Кол-во]]*Расчёт[[#This Row],[23
Цена Вход]]</f>
        <v>29.59</v>
      </c>
    </row>
    <row r="71" spans="1:26" ht="26.4" x14ac:dyDescent="0.25">
      <c r="A71" s="199" t="s">
        <v>351</v>
      </c>
      <c r="B71" s="200" t="s">
        <v>343</v>
      </c>
      <c r="C71" s="201">
        <v>700504031</v>
      </c>
      <c r="D71" s="202" t="s">
        <v>352</v>
      </c>
      <c r="E71" s="203">
        <v>1</v>
      </c>
      <c r="F71" s="204" t="s">
        <v>29</v>
      </c>
      <c r="G7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184</v>
      </c>
      <c r="H71" s="196">
        <f t="shared" si="8"/>
        <v>184</v>
      </c>
      <c r="I71" s="153">
        <f t="shared" si="9"/>
        <v>0.4665760869565217</v>
      </c>
      <c r="J7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98.15</v>
      </c>
      <c r="K71" s="231">
        <f>Расчёт[[#This Row],[5
Кол-во]]*Расчёт[[#This Row],[10
Цена Вход]]</f>
        <v>98.15</v>
      </c>
      <c r="L71" s="213" t="s">
        <v>30</v>
      </c>
      <c r="M71" s="205"/>
      <c r="N71" s="206"/>
      <c r="O71" s="207"/>
      <c r="P71" s="208"/>
      <c r="Q71" s="209">
        <f>Расчёт[[#This Row],[5
Кол-во]]*Расчёт[[#This Row],[16
Вес]]</f>
        <v>0</v>
      </c>
      <c r="R71" s="208"/>
      <c r="S71" s="209">
        <f>Расчёт[[#This Row],[5
Кол-во]]*Расчёт[[#This Row],[18
Объём]]</f>
        <v>0</v>
      </c>
      <c r="T71" s="212" t="s">
        <v>21</v>
      </c>
      <c r="U71" s="197">
        <v>184</v>
      </c>
      <c r="V71" s="210" t="s">
        <v>21</v>
      </c>
      <c r="W71" s="219">
        <v>98.15</v>
      </c>
      <c r="X71" s="198" t="s">
        <v>30</v>
      </c>
      <c r="Y71" s="211">
        <f>Расчёт[[#This Row],[5
Кол-во]]*Расчёт[[#This Row],[21
Цена GPL]]</f>
        <v>184</v>
      </c>
      <c r="Z71" s="211">
        <f>Расчёт[[#This Row],[5
Кол-во]]*Расчёт[[#This Row],[23
Цена Вход]]</f>
        <v>98.15</v>
      </c>
    </row>
    <row r="72" spans="1:26" x14ac:dyDescent="0.25">
      <c r="A72" s="199" t="s">
        <v>353</v>
      </c>
      <c r="B72" s="200" t="s">
        <v>343</v>
      </c>
      <c r="C72" s="201">
        <v>700472889</v>
      </c>
      <c r="D72" s="202" t="s">
        <v>354</v>
      </c>
      <c r="E72" s="203">
        <v>1</v>
      </c>
      <c r="F72" s="204" t="s">
        <v>29</v>
      </c>
      <c r="G7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1040</v>
      </c>
      <c r="H72" s="196">
        <f t="shared" si="8"/>
        <v>1040</v>
      </c>
      <c r="I72" s="153">
        <f t="shared" si="9"/>
        <v>0.46660576923076924</v>
      </c>
      <c r="J7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554.73</v>
      </c>
      <c r="K72" s="231">
        <f>Расчёт[[#This Row],[5
Кол-во]]*Расчёт[[#This Row],[10
Цена Вход]]</f>
        <v>554.73</v>
      </c>
      <c r="L72" s="213" t="s">
        <v>30</v>
      </c>
      <c r="M72" s="205"/>
      <c r="N72" s="206"/>
      <c r="O72" s="207"/>
      <c r="P72" s="208"/>
      <c r="Q72" s="209">
        <f>Расчёт[[#This Row],[5
Кол-во]]*Расчёт[[#This Row],[16
Вес]]</f>
        <v>0</v>
      </c>
      <c r="R72" s="208"/>
      <c r="S72" s="209">
        <f>Расчёт[[#This Row],[5
Кол-во]]*Расчёт[[#This Row],[18
Объём]]</f>
        <v>0</v>
      </c>
      <c r="T72" s="212" t="s">
        <v>21</v>
      </c>
      <c r="U72" s="197">
        <v>1040</v>
      </c>
      <c r="V72" s="210" t="s">
        <v>21</v>
      </c>
      <c r="W72" s="219">
        <v>554.73</v>
      </c>
      <c r="X72" s="198" t="s">
        <v>30</v>
      </c>
      <c r="Y72" s="211">
        <f>Расчёт[[#This Row],[5
Кол-во]]*Расчёт[[#This Row],[21
Цена GPL]]</f>
        <v>1040</v>
      </c>
      <c r="Z72" s="211">
        <f>Расчёт[[#This Row],[5
Кол-во]]*Расчёт[[#This Row],[23
Цена Вход]]</f>
        <v>554.73</v>
      </c>
    </row>
    <row r="73" spans="1:26" x14ac:dyDescent="0.25">
      <c r="A73" s="199" t="s">
        <v>355</v>
      </c>
      <c r="B73" s="200" t="s">
        <v>343</v>
      </c>
      <c r="C73" s="201">
        <v>700500698</v>
      </c>
      <c r="D73" s="202" t="s">
        <v>356</v>
      </c>
      <c r="E73" s="203">
        <v>1</v>
      </c>
      <c r="F73" s="204" t="s">
        <v>29</v>
      </c>
      <c r="G7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3965</v>
      </c>
      <c r="H73" s="196">
        <f t="shared" si="8"/>
        <v>3965</v>
      </c>
      <c r="I73" s="153">
        <f t="shared" si="9"/>
        <v>0.46660025220680962</v>
      </c>
      <c r="J7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2114.9299999999998</v>
      </c>
      <c r="K73" s="231">
        <f>Расчёт[[#This Row],[5
Кол-во]]*Расчёт[[#This Row],[10
Цена Вход]]</f>
        <v>2114.9299999999998</v>
      </c>
      <c r="L73" s="213" t="s">
        <v>30</v>
      </c>
      <c r="M73" s="205"/>
      <c r="N73" s="206"/>
      <c r="O73" s="207"/>
      <c r="P73" s="208"/>
      <c r="Q73" s="209">
        <f>Расчёт[[#This Row],[5
Кол-во]]*Расчёт[[#This Row],[16
Вес]]</f>
        <v>0</v>
      </c>
      <c r="R73" s="208"/>
      <c r="S73" s="209">
        <f>Расчёт[[#This Row],[5
Кол-во]]*Расчёт[[#This Row],[18
Объём]]</f>
        <v>0</v>
      </c>
      <c r="T73" s="212" t="s">
        <v>21</v>
      </c>
      <c r="U73" s="197">
        <v>3965</v>
      </c>
      <c r="V73" s="210" t="s">
        <v>21</v>
      </c>
      <c r="W73" s="219">
        <v>2114.9299999999998</v>
      </c>
      <c r="X73" s="198" t="s">
        <v>30</v>
      </c>
      <c r="Y73" s="211">
        <f>Расчёт[[#This Row],[5
Кол-во]]*Расчёт[[#This Row],[21
Цена GPL]]</f>
        <v>3965</v>
      </c>
      <c r="Z73" s="211">
        <f>Расчёт[[#This Row],[5
Кол-во]]*Расчёт[[#This Row],[23
Цена Вход]]</f>
        <v>2114.9299999999998</v>
      </c>
    </row>
    <row r="74" spans="1:26" x14ac:dyDescent="0.25">
      <c r="A74" s="199" t="s">
        <v>357</v>
      </c>
      <c r="B74" s="200" t="s">
        <v>343</v>
      </c>
      <c r="C74" s="201">
        <v>700508194</v>
      </c>
      <c r="D74" s="202" t="s">
        <v>358</v>
      </c>
      <c r="E74" s="203">
        <v>2</v>
      </c>
      <c r="F74" s="204" t="s">
        <v>29</v>
      </c>
      <c r="G7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289</v>
      </c>
      <c r="H74" s="196">
        <f t="shared" ref="H74:H93" si="10">E74*G74</f>
        <v>578</v>
      </c>
      <c r="I74" s="153">
        <f t="shared" ref="I74:I93" si="11">IFERROR((G74-J74)/G74,"")</f>
        <v>0.40311418685121109</v>
      </c>
      <c r="J7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172.5</v>
      </c>
      <c r="K74" s="231">
        <f>Расчёт[[#This Row],[5
Кол-во]]*Расчёт[[#This Row],[10
Цена Вход]]</f>
        <v>345</v>
      </c>
      <c r="L74" s="213" t="s">
        <v>30</v>
      </c>
      <c r="M74" s="205"/>
      <c r="N74" s="206"/>
      <c r="O74" s="207"/>
      <c r="P74" s="208"/>
      <c r="Q74" s="209">
        <f>Расчёт[[#This Row],[5
Кол-во]]*Расчёт[[#This Row],[16
Вес]]</f>
        <v>0</v>
      </c>
      <c r="R74" s="208"/>
      <c r="S74" s="209">
        <f>Расчёт[[#This Row],[5
Кол-во]]*Расчёт[[#This Row],[18
Объём]]</f>
        <v>0</v>
      </c>
      <c r="T74" s="212" t="s">
        <v>21</v>
      </c>
      <c r="U74" s="197">
        <v>289</v>
      </c>
      <c r="V74" s="210" t="s">
        <v>21</v>
      </c>
      <c r="W74" s="219">
        <v>172.5</v>
      </c>
      <c r="X74" s="198" t="s">
        <v>30</v>
      </c>
      <c r="Y74" s="211">
        <f>Расчёт[[#This Row],[5
Кол-во]]*Расчёт[[#This Row],[21
Цена GPL]]</f>
        <v>578</v>
      </c>
      <c r="Z74" s="211">
        <f>Расчёт[[#This Row],[5
Кол-во]]*Расчёт[[#This Row],[23
Цена Вход]]</f>
        <v>345</v>
      </c>
    </row>
    <row r="75" spans="1:26" x14ac:dyDescent="0.25">
      <c r="A75" s="199" t="s">
        <v>359</v>
      </c>
      <c r="B75" s="200" t="s">
        <v>343</v>
      </c>
      <c r="C75" s="201">
        <v>700356447</v>
      </c>
      <c r="D75" s="202" t="s">
        <v>360</v>
      </c>
      <c r="E75" s="203">
        <v>2</v>
      </c>
      <c r="F75" s="204" t="s">
        <v>29</v>
      </c>
      <c r="G7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32</v>
      </c>
      <c r="H75" s="196">
        <f t="shared" si="10"/>
        <v>64</v>
      </c>
      <c r="I75" s="153">
        <f t="shared" si="11"/>
        <v>0.14906249999999999</v>
      </c>
      <c r="J7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27.23</v>
      </c>
      <c r="K75" s="231">
        <f>Расчёт[[#This Row],[5
Кол-во]]*Расчёт[[#This Row],[10
Цена Вход]]</f>
        <v>54.46</v>
      </c>
      <c r="L75" s="213" t="s">
        <v>30</v>
      </c>
      <c r="M75" s="205"/>
      <c r="N75" s="206"/>
      <c r="O75" s="207"/>
      <c r="P75" s="208"/>
      <c r="Q75" s="209">
        <f>Расчёт[[#This Row],[5
Кол-во]]*Расчёт[[#This Row],[16
Вес]]</f>
        <v>0</v>
      </c>
      <c r="R75" s="208"/>
      <c r="S75" s="209">
        <f>Расчёт[[#This Row],[5
Кол-во]]*Расчёт[[#This Row],[18
Объём]]</f>
        <v>0</v>
      </c>
      <c r="T75" s="212" t="s">
        <v>21</v>
      </c>
      <c r="U75" s="197">
        <v>32</v>
      </c>
      <c r="V75" s="210" t="s">
        <v>21</v>
      </c>
      <c r="W75" s="219">
        <v>27.23</v>
      </c>
      <c r="X75" s="198" t="s">
        <v>30</v>
      </c>
      <c r="Y75" s="211">
        <f>Расчёт[[#This Row],[5
Кол-во]]*Расчёт[[#This Row],[21
Цена GPL]]</f>
        <v>64</v>
      </c>
      <c r="Z75" s="211">
        <f>Расчёт[[#This Row],[5
Кол-во]]*Расчёт[[#This Row],[23
Цена Вход]]</f>
        <v>54.46</v>
      </c>
    </row>
    <row r="76" spans="1:26" x14ac:dyDescent="0.25">
      <c r="A76" s="199" t="s">
        <v>361</v>
      </c>
      <c r="B76" s="200" t="s">
        <v>343</v>
      </c>
      <c r="C76" s="201">
        <v>700469968</v>
      </c>
      <c r="D76" s="202" t="s">
        <v>362</v>
      </c>
      <c r="E76" s="203">
        <v>2</v>
      </c>
      <c r="F76" s="204" t="s">
        <v>29</v>
      </c>
      <c r="G7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157</v>
      </c>
      <c r="H76" s="196">
        <f t="shared" si="10"/>
        <v>314</v>
      </c>
      <c r="I76" s="153">
        <f t="shared" si="11"/>
        <v>0.4031210191082803</v>
      </c>
      <c r="J7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93.71</v>
      </c>
      <c r="K76" s="231">
        <f>Расчёт[[#This Row],[5
Кол-во]]*Расчёт[[#This Row],[10
Цена Вход]]</f>
        <v>187.42</v>
      </c>
      <c r="L76" s="213" t="s">
        <v>30</v>
      </c>
      <c r="M76" s="205"/>
      <c r="N76" s="206"/>
      <c r="O76" s="207"/>
      <c r="P76" s="208"/>
      <c r="Q76" s="209">
        <f>Расчёт[[#This Row],[5
Кол-во]]*Расчёт[[#This Row],[16
Вес]]</f>
        <v>0</v>
      </c>
      <c r="R76" s="208"/>
      <c r="S76" s="209">
        <f>Расчёт[[#This Row],[5
Кол-во]]*Расчёт[[#This Row],[18
Объём]]</f>
        <v>0</v>
      </c>
      <c r="T76" s="212" t="s">
        <v>21</v>
      </c>
      <c r="U76" s="197">
        <v>157</v>
      </c>
      <c r="V76" s="210" t="s">
        <v>21</v>
      </c>
      <c r="W76" s="219">
        <v>93.71</v>
      </c>
      <c r="X76" s="198" t="s">
        <v>30</v>
      </c>
      <c r="Y76" s="211">
        <f>Расчёт[[#This Row],[5
Кол-во]]*Расчёт[[#This Row],[21
Цена GPL]]</f>
        <v>314</v>
      </c>
      <c r="Z76" s="211">
        <f>Расчёт[[#This Row],[5
Кол-во]]*Расчёт[[#This Row],[23
Цена Вход]]</f>
        <v>187.42</v>
      </c>
    </row>
    <row r="77" spans="1:26" x14ac:dyDescent="0.25">
      <c r="A77" s="199" t="s">
        <v>363</v>
      </c>
      <c r="B77" s="200" t="s">
        <v>343</v>
      </c>
      <c r="C77" s="201">
        <v>700504841</v>
      </c>
      <c r="D77" s="202" t="s">
        <v>364</v>
      </c>
      <c r="E77" s="203">
        <v>28</v>
      </c>
      <c r="F77" s="204" t="s">
        <v>29</v>
      </c>
      <c r="G7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231</v>
      </c>
      <c r="H77" s="196">
        <f t="shared" si="10"/>
        <v>6468</v>
      </c>
      <c r="I77" s="153">
        <f t="shared" si="11"/>
        <v>0.40311688311688315</v>
      </c>
      <c r="J7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137.88</v>
      </c>
      <c r="K77" s="231">
        <f>Расчёт[[#This Row],[5
Кол-во]]*Расчёт[[#This Row],[10
Цена Вход]]</f>
        <v>3860.64</v>
      </c>
      <c r="L77" s="213" t="s">
        <v>30</v>
      </c>
      <c r="M77" s="205"/>
      <c r="N77" s="206"/>
      <c r="O77" s="207"/>
      <c r="P77" s="208"/>
      <c r="Q77" s="209">
        <f>Расчёт[[#This Row],[5
Кол-во]]*Расчёт[[#This Row],[16
Вес]]</f>
        <v>0</v>
      </c>
      <c r="R77" s="208"/>
      <c r="S77" s="209">
        <f>Расчёт[[#This Row],[5
Кол-во]]*Расчёт[[#This Row],[18
Объём]]</f>
        <v>0</v>
      </c>
      <c r="T77" s="212" t="s">
        <v>21</v>
      </c>
      <c r="U77" s="197">
        <v>231</v>
      </c>
      <c r="V77" s="210" t="s">
        <v>21</v>
      </c>
      <c r="W77" s="219">
        <v>137.88</v>
      </c>
      <c r="X77" s="198" t="s">
        <v>30</v>
      </c>
      <c r="Y77" s="211">
        <f>Расчёт[[#This Row],[5
Кол-во]]*Расчёт[[#This Row],[21
Цена GPL]]</f>
        <v>6468</v>
      </c>
      <c r="Z77" s="211">
        <f>Расчёт[[#This Row],[5
Кол-во]]*Расчёт[[#This Row],[23
Цена Вход]]</f>
        <v>3860.64</v>
      </c>
    </row>
    <row r="78" spans="1:26" x14ac:dyDescent="0.25">
      <c r="A78" s="199" t="s">
        <v>365</v>
      </c>
      <c r="B78" s="200" t="s">
        <v>343</v>
      </c>
      <c r="C78" s="201">
        <v>271629</v>
      </c>
      <c r="D78" s="202" t="s">
        <v>366</v>
      </c>
      <c r="E78" s="203">
        <v>1</v>
      </c>
      <c r="F78" s="204" t="s">
        <v>29</v>
      </c>
      <c r="G7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475.2</v>
      </c>
      <c r="H78" s="196">
        <f t="shared" si="10"/>
        <v>475.2</v>
      </c>
      <c r="I78" s="153">
        <f t="shared" si="11"/>
        <v>0.67752525252525253</v>
      </c>
      <c r="J7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153.24</v>
      </c>
      <c r="K78" s="231">
        <f>Расчёт[[#This Row],[5
Кол-во]]*Расчёт[[#This Row],[10
Цена Вход]]</f>
        <v>153.24</v>
      </c>
      <c r="L78" s="213" t="s">
        <v>30</v>
      </c>
      <c r="M78" s="205"/>
      <c r="N78" s="206"/>
      <c r="O78" s="207"/>
      <c r="P78" s="208"/>
      <c r="Q78" s="209">
        <f>Расчёт[[#This Row],[5
Кол-во]]*Расчёт[[#This Row],[16
Вес]]</f>
        <v>0</v>
      </c>
      <c r="R78" s="208"/>
      <c r="S78" s="209">
        <f>Расчёт[[#This Row],[5
Кол-во]]*Расчёт[[#This Row],[18
Объём]]</f>
        <v>0</v>
      </c>
      <c r="T78" s="212" t="s">
        <v>21</v>
      </c>
      <c r="U78" s="197">
        <v>475.2</v>
      </c>
      <c r="V78" s="210" t="s">
        <v>21</v>
      </c>
      <c r="W78" s="219">
        <v>153.24</v>
      </c>
      <c r="X78" s="198" t="s">
        <v>30</v>
      </c>
      <c r="Y78" s="211">
        <f>Расчёт[[#This Row],[5
Кол-во]]*Расчёт[[#This Row],[21
Цена GPL]]</f>
        <v>475.2</v>
      </c>
      <c r="Z78" s="211">
        <f>Расчёт[[#This Row],[5
Кол-во]]*Расчёт[[#This Row],[23
Цена Вход]]</f>
        <v>153.24</v>
      </c>
    </row>
    <row r="79" spans="1:26" x14ac:dyDescent="0.25">
      <c r="A79" s="199" t="s">
        <v>367</v>
      </c>
      <c r="B79" s="200" t="s">
        <v>343</v>
      </c>
      <c r="C79" s="201">
        <v>383125</v>
      </c>
      <c r="D79" s="202" t="s">
        <v>368</v>
      </c>
      <c r="E79" s="203">
        <v>1</v>
      </c>
      <c r="F79" s="204" t="s">
        <v>29</v>
      </c>
      <c r="G7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528</v>
      </c>
      <c r="H79" s="196">
        <f t="shared" si="10"/>
        <v>528</v>
      </c>
      <c r="I79" s="153">
        <f t="shared" si="11"/>
        <v>0.47918560606060606</v>
      </c>
      <c r="J7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274.99</v>
      </c>
      <c r="K79" s="231">
        <f>Расчёт[[#This Row],[5
Кол-во]]*Расчёт[[#This Row],[10
Цена Вход]]</f>
        <v>274.99</v>
      </c>
      <c r="L79" s="213" t="s">
        <v>30</v>
      </c>
      <c r="M79" s="205"/>
      <c r="N79" s="206"/>
      <c r="O79" s="207"/>
      <c r="P79" s="208"/>
      <c r="Q79" s="209">
        <f>Расчёт[[#This Row],[5
Кол-во]]*Расчёт[[#This Row],[16
Вес]]</f>
        <v>0</v>
      </c>
      <c r="R79" s="208"/>
      <c r="S79" s="209">
        <f>Расчёт[[#This Row],[5
Кол-во]]*Расчёт[[#This Row],[18
Объём]]</f>
        <v>0</v>
      </c>
      <c r="T79" s="212" t="s">
        <v>21</v>
      </c>
      <c r="U79" s="197">
        <v>528</v>
      </c>
      <c r="V79" s="210" t="s">
        <v>21</v>
      </c>
      <c r="W79" s="219">
        <v>274.99</v>
      </c>
      <c r="X79" s="198" t="s">
        <v>30</v>
      </c>
      <c r="Y79" s="211">
        <f>Расчёт[[#This Row],[5
Кол-во]]*Расчёт[[#This Row],[21
Цена GPL]]</f>
        <v>528</v>
      </c>
      <c r="Z79" s="211">
        <f>Расчёт[[#This Row],[5
Кол-во]]*Расчёт[[#This Row],[23
Цена Вход]]</f>
        <v>274.99</v>
      </c>
    </row>
    <row r="80" spans="1:26" x14ac:dyDescent="0.25">
      <c r="A80" s="199" t="s">
        <v>369</v>
      </c>
      <c r="B80" s="200" t="s">
        <v>343</v>
      </c>
      <c r="C80" s="201">
        <v>383085</v>
      </c>
      <c r="D80" s="202" t="s">
        <v>370</v>
      </c>
      <c r="E80" s="203">
        <v>1</v>
      </c>
      <c r="F80" s="204" t="s">
        <v>29</v>
      </c>
      <c r="G8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77</v>
      </c>
      <c r="H80" s="196">
        <f t="shared" si="10"/>
        <v>77</v>
      </c>
      <c r="I80" s="153">
        <f t="shared" si="11"/>
        <v>0.47922077922077921</v>
      </c>
      <c r="J8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40.1</v>
      </c>
      <c r="K80" s="231">
        <f>Расчёт[[#This Row],[5
Кол-во]]*Расчёт[[#This Row],[10
Цена Вход]]</f>
        <v>40.1</v>
      </c>
      <c r="L80" s="213" t="s">
        <v>30</v>
      </c>
      <c r="M80" s="205"/>
      <c r="N80" s="206"/>
      <c r="O80" s="207"/>
      <c r="P80" s="208"/>
      <c r="Q80" s="209">
        <f>Расчёт[[#This Row],[5
Кол-во]]*Расчёт[[#This Row],[16
Вес]]</f>
        <v>0</v>
      </c>
      <c r="R80" s="208"/>
      <c r="S80" s="209">
        <f>Расчёт[[#This Row],[5
Кол-во]]*Расчёт[[#This Row],[18
Объём]]</f>
        <v>0</v>
      </c>
      <c r="T80" s="212" t="s">
        <v>21</v>
      </c>
      <c r="U80" s="197">
        <v>77</v>
      </c>
      <c r="V80" s="210" t="s">
        <v>21</v>
      </c>
      <c r="W80" s="219">
        <v>40.1</v>
      </c>
      <c r="X80" s="198" t="s">
        <v>30</v>
      </c>
      <c r="Y80" s="211">
        <f>Расчёт[[#This Row],[5
Кол-во]]*Расчёт[[#This Row],[21
Цена GPL]]</f>
        <v>77</v>
      </c>
      <c r="Z80" s="211">
        <f>Расчёт[[#This Row],[5
Кол-во]]*Расчёт[[#This Row],[23
Цена Вход]]</f>
        <v>40.1</v>
      </c>
    </row>
    <row r="81" spans="1:26" x14ac:dyDescent="0.25">
      <c r="A81" s="199" t="s">
        <v>371</v>
      </c>
      <c r="B81" s="200" t="s">
        <v>343</v>
      </c>
      <c r="C81" s="201">
        <v>383110</v>
      </c>
      <c r="D81" s="202" t="s">
        <v>372</v>
      </c>
      <c r="E81" s="203">
        <v>30</v>
      </c>
      <c r="F81" s="204" t="s">
        <v>29</v>
      </c>
      <c r="G8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75</v>
      </c>
      <c r="H81" s="196">
        <f t="shared" si="10"/>
        <v>2250</v>
      </c>
      <c r="I81" s="153">
        <f t="shared" si="11"/>
        <v>0.47919999999999996</v>
      </c>
      <c r="J8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39.06</v>
      </c>
      <c r="K81" s="231">
        <f>Расчёт[[#This Row],[5
Кол-во]]*Расчёт[[#This Row],[10
Цена Вход]]</f>
        <v>1171.8000000000002</v>
      </c>
      <c r="L81" s="213" t="s">
        <v>30</v>
      </c>
      <c r="M81" s="205"/>
      <c r="N81" s="206"/>
      <c r="O81" s="207"/>
      <c r="P81" s="208"/>
      <c r="Q81" s="209">
        <f>Расчёт[[#This Row],[5
Кол-во]]*Расчёт[[#This Row],[16
Вес]]</f>
        <v>0</v>
      </c>
      <c r="R81" s="208"/>
      <c r="S81" s="209">
        <f>Расчёт[[#This Row],[5
Кол-во]]*Расчёт[[#This Row],[18
Объём]]</f>
        <v>0</v>
      </c>
      <c r="T81" s="212" t="s">
        <v>21</v>
      </c>
      <c r="U81" s="197">
        <v>75</v>
      </c>
      <c r="V81" s="210" t="s">
        <v>21</v>
      </c>
      <c r="W81" s="219">
        <v>39.06</v>
      </c>
      <c r="X81" s="198" t="s">
        <v>30</v>
      </c>
      <c r="Y81" s="211">
        <f>Расчёт[[#This Row],[5
Кол-во]]*Расчёт[[#This Row],[21
Цена GPL]]</f>
        <v>2250</v>
      </c>
      <c r="Z81" s="211">
        <f>Расчёт[[#This Row],[5
Кол-во]]*Расчёт[[#This Row],[23
Цена Вход]]</f>
        <v>1171.8000000000002</v>
      </c>
    </row>
    <row r="82" spans="1:26" x14ac:dyDescent="0.25">
      <c r="A82" s="199" t="s">
        <v>223</v>
      </c>
      <c r="B82" s="200"/>
      <c r="C82" s="201"/>
      <c r="D82" s="202" t="s">
        <v>373</v>
      </c>
      <c r="E82" s="203"/>
      <c r="F82" s="204"/>
      <c r="G8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2" s="196">
        <f t="shared" si="10"/>
        <v>0</v>
      </c>
      <c r="I82" s="153" t="str">
        <f t="shared" si="11"/>
        <v/>
      </c>
      <c r="J8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82" s="231">
        <f>Расчёт[[#This Row],[5
Кол-во]]*Расчёт[[#This Row],[10
Цена Вход]]</f>
        <v>0</v>
      </c>
      <c r="L82" s="213" t="s">
        <v>32</v>
      </c>
      <c r="M82" s="205"/>
      <c r="N82" s="206"/>
      <c r="O82" s="207"/>
      <c r="P82" s="208"/>
      <c r="Q82" s="209">
        <f>Расчёт[[#This Row],[5
Кол-во]]*Расчёт[[#This Row],[16
Вес]]</f>
        <v>0</v>
      </c>
      <c r="R82" s="208"/>
      <c r="S82" s="209">
        <f>Расчёт[[#This Row],[5
Кол-во]]*Расчёт[[#This Row],[18
Объём]]</f>
        <v>0</v>
      </c>
      <c r="T82" s="212" t="s">
        <v>21</v>
      </c>
      <c r="U82" s="197">
        <v>0</v>
      </c>
      <c r="V82" s="210" t="s">
        <v>21</v>
      </c>
      <c r="W82" s="219">
        <v>0</v>
      </c>
      <c r="X82" s="198" t="s">
        <v>32</v>
      </c>
      <c r="Y82" s="211">
        <f>Расчёт[[#This Row],[5
Кол-во]]*Расчёт[[#This Row],[21
Цена GPL]]</f>
        <v>0</v>
      </c>
      <c r="Z82" s="211">
        <f>Расчёт[[#This Row],[5
Кол-во]]*Расчёт[[#This Row],[23
Цена Вход]]</f>
        <v>0</v>
      </c>
    </row>
    <row r="83" spans="1:26" x14ac:dyDescent="0.25">
      <c r="A83" s="199" t="s">
        <v>374</v>
      </c>
      <c r="B83" s="200" t="s">
        <v>375</v>
      </c>
      <c r="C83" s="201" t="s">
        <v>376</v>
      </c>
      <c r="D83" s="202" t="s">
        <v>377</v>
      </c>
      <c r="E83" s="203">
        <v>24</v>
      </c>
      <c r="F83" s="204" t="s">
        <v>29</v>
      </c>
      <c r="G8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3" s="196">
        <f t="shared" si="10"/>
        <v>0</v>
      </c>
      <c r="I83" s="153" t="str">
        <f t="shared" si="11"/>
        <v/>
      </c>
      <c r="J8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656.66666666666663</v>
      </c>
      <c r="K83" s="231">
        <f>Расчёт[[#This Row],[5
Кол-во]]*Расчёт[[#This Row],[10
Цена Вход]]</f>
        <v>15760</v>
      </c>
      <c r="L83" s="213" t="s">
        <v>32</v>
      </c>
      <c r="M83" s="205"/>
      <c r="N83" s="206"/>
      <c r="O83" s="207"/>
      <c r="P83" s="208"/>
      <c r="Q83" s="209">
        <f>Расчёт[[#This Row],[5
Кол-во]]*Расчёт[[#This Row],[16
Вес]]</f>
        <v>0</v>
      </c>
      <c r="R83" s="208"/>
      <c r="S83" s="209">
        <f>Расчёт[[#This Row],[5
Кол-во]]*Расчёт[[#This Row],[18
Объём]]</f>
        <v>0</v>
      </c>
      <c r="T83" s="212" t="s">
        <v>21</v>
      </c>
      <c r="U83" s="197">
        <v>0</v>
      </c>
      <c r="V83" s="210" t="s">
        <v>20</v>
      </c>
      <c r="W83" s="219">
        <v>39400</v>
      </c>
      <c r="X83" s="198" t="s">
        <v>32</v>
      </c>
      <c r="Y83" s="211">
        <f>Расчёт[[#This Row],[5
Кол-во]]*Расчёт[[#This Row],[21
Цена GPL]]</f>
        <v>0</v>
      </c>
      <c r="Z83" s="211">
        <f>Расчёт[[#This Row],[5
Кол-во]]*Расчёт[[#This Row],[23
Цена Вход]]</f>
        <v>945600</v>
      </c>
    </row>
    <row r="84" spans="1:26" x14ac:dyDescent="0.25">
      <c r="A84" s="199" t="s">
        <v>378</v>
      </c>
      <c r="B84" s="200" t="s">
        <v>375</v>
      </c>
      <c r="C84" s="201" t="s">
        <v>379</v>
      </c>
      <c r="D84" s="202" t="s">
        <v>380</v>
      </c>
      <c r="E84" s="203">
        <v>30</v>
      </c>
      <c r="F84" s="204" t="s">
        <v>29</v>
      </c>
      <c r="G8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4" s="196">
        <f t="shared" si="10"/>
        <v>0</v>
      </c>
      <c r="I84" s="153" t="str">
        <f t="shared" si="11"/>
        <v/>
      </c>
      <c r="J8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25</v>
      </c>
      <c r="K84" s="231">
        <f>Расчёт[[#This Row],[5
Кол-во]]*Расчёт[[#This Row],[10
Цена Вход]]</f>
        <v>750</v>
      </c>
      <c r="L84" s="213" t="s">
        <v>32</v>
      </c>
      <c r="M84" s="205"/>
      <c r="N84" s="206"/>
      <c r="O84" s="207"/>
      <c r="P84" s="208"/>
      <c r="Q84" s="209">
        <f>Расчёт[[#This Row],[5
Кол-во]]*Расчёт[[#This Row],[16
Вес]]</f>
        <v>0</v>
      </c>
      <c r="R84" s="208"/>
      <c r="S84" s="209">
        <f>Расчёт[[#This Row],[5
Кол-во]]*Расчёт[[#This Row],[18
Объём]]</f>
        <v>0</v>
      </c>
      <c r="T84" s="212" t="s">
        <v>21</v>
      </c>
      <c r="U84" s="197">
        <v>0</v>
      </c>
      <c r="V84" s="210" t="s">
        <v>20</v>
      </c>
      <c r="W84" s="219">
        <v>1500</v>
      </c>
      <c r="X84" s="198" t="s">
        <v>32</v>
      </c>
      <c r="Y84" s="211">
        <f>Расчёт[[#This Row],[5
Кол-во]]*Расчёт[[#This Row],[21
Цена GPL]]</f>
        <v>0</v>
      </c>
      <c r="Z84" s="211">
        <f>Расчёт[[#This Row],[5
Кол-во]]*Расчёт[[#This Row],[23
Цена Вход]]</f>
        <v>45000</v>
      </c>
    </row>
    <row r="85" spans="1:26" x14ac:dyDescent="0.25">
      <c r="A85" s="199" t="s">
        <v>381</v>
      </c>
      <c r="B85" s="200" t="s">
        <v>375</v>
      </c>
      <c r="C85" s="201" t="s">
        <v>382</v>
      </c>
      <c r="D85" s="202" t="s">
        <v>383</v>
      </c>
      <c r="E85" s="203">
        <v>1</v>
      </c>
      <c r="F85" s="204" t="s">
        <v>29</v>
      </c>
      <c r="G8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5" s="196">
        <f t="shared" si="10"/>
        <v>0</v>
      </c>
      <c r="I85" s="153" t="str">
        <f t="shared" si="11"/>
        <v/>
      </c>
      <c r="J8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766.66666666666663</v>
      </c>
      <c r="K85" s="231">
        <f>Расчёт[[#This Row],[5
Кол-во]]*Расчёт[[#This Row],[10
Цена Вход]]</f>
        <v>766.66666666666663</v>
      </c>
      <c r="L85" s="213" t="s">
        <v>32</v>
      </c>
      <c r="M85" s="205"/>
      <c r="N85" s="206"/>
      <c r="O85" s="207"/>
      <c r="P85" s="208"/>
      <c r="Q85" s="209">
        <f>Расчёт[[#This Row],[5
Кол-во]]*Расчёт[[#This Row],[16
Вес]]</f>
        <v>0</v>
      </c>
      <c r="R85" s="208"/>
      <c r="S85" s="209">
        <f>Расчёт[[#This Row],[5
Кол-во]]*Расчёт[[#This Row],[18
Объём]]</f>
        <v>0</v>
      </c>
      <c r="T85" s="212" t="s">
        <v>21</v>
      </c>
      <c r="U85" s="197">
        <v>0</v>
      </c>
      <c r="V85" s="210" t="s">
        <v>20</v>
      </c>
      <c r="W85" s="219">
        <v>46000</v>
      </c>
      <c r="X85" s="198" t="s">
        <v>32</v>
      </c>
      <c r="Y85" s="211">
        <f>Расчёт[[#This Row],[5
Кол-во]]*Расчёт[[#This Row],[21
Цена GPL]]</f>
        <v>0</v>
      </c>
      <c r="Z85" s="211">
        <f>Расчёт[[#This Row],[5
Кол-во]]*Расчёт[[#This Row],[23
Цена Вход]]</f>
        <v>46000</v>
      </c>
    </row>
    <row r="86" spans="1:26" x14ac:dyDescent="0.25">
      <c r="A86" s="199" t="s">
        <v>384</v>
      </c>
      <c r="B86" s="200" t="s">
        <v>375</v>
      </c>
      <c r="C86" s="201" t="s">
        <v>385</v>
      </c>
      <c r="D86" s="202" t="s">
        <v>386</v>
      </c>
      <c r="E86" s="203">
        <v>5</v>
      </c>
      <c r="F86" s="204" t="s">
        <v>29</v>
      </c>
      <c r="G8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6" s="196">
        <f t="shared" si="10"/>
        <v>0</v>
      </c>
      <c r="I86" s="153" t="str">
        <f t="shared" si="11"/>
        <v/>
      </c>
      <c r="J8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178.33333333333334</v>
      </c>
      <c r="K86" s="231">
        <f>Расчёт[[#This Row],[5
Кол-во]]*Расчёт[[#This Row],[10
Цена Вход]]</f>
        <v>891.66666666666674</v>
      </c>
      <c r="L86" s="213" t="s">
        <v>32</v>
      </c>
      <c r="M86" s="205"/>
      <c r="N86" s="206"/>
      <c r="O86" s="207"/>
      <c r="P86" s="208"/>
      <c r="Q86" s="209">
        <f>Расчёт[[#This Row],[5
Кол-во]]*Расчёт[[#This Row],[16
Вес]]</f>
        <v>0</v>
      </c>
      <c r="R86" s="208"/>
      <c r="S86" s="209">
        <f>Расчёт[[#This Row],[5
Кол-во]]*Расчёт[[#This Row],[18
Объём]]</f>
        <v>0</v>
      </c>
      <c r="T86" s="212" t="s">
        <v>21</v>
      </c>
      <c r="U86" s="197">
        <v>0</v>
      </c>
      <c r="V86" s="210" t="s">
        <v>20</v>
      </c>
      <c r="W86" s="219">
        <v>10700</v>
      </c>
      <c r="X86" s="198" t="s">
        <v>32</v>
      </c>
      <c r="Y86" s="211">
        <f>Расчёт[[#This Row],[5
Кол-во]]*Расчёт[[#This Row],[21
Цена GPL]]</f>
        <v>0</v>
      </c>
      <c r="Z86" s="211">
        <f>Расчёт[[#This Row],[5
Кол-во]]*Расчёт[[#This Row],[23
Цена Вход]]</f>
        <v>53500</v>
      </c>
    </row>
    <row r="87" spans="1:26" ht="26.4" x14ac:dyDescent="0.25">
      <c r="A87" s="199" t="s">
        <v>387</v>
      </c>
      <c r="B87" s="200" t="s">
        <v>375</v>
      </c>
      <c r="C87" s="201" t="s">
        <v>388</v>
      </c>
      <c r="D87" s="202" t="s">
        <v>389</v>
      </c>
      <c r="E87" s="203">
        <v>30</v>
      </c>
      <c r="F87" s="204" t="s">
        <v>29</v>
      </c>
      <c r="G8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7" s="196">
        <f t="shared" si="10"/>
        <v>0</v>
      </c>
      <c r="I87" s="153" t="str">
        <f t="shared" si="11"/>
        <v/>
      </c>
      <c r="J8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111.66666666666667</v>
      </c>
      <c r="K87" s="231">
        <f>Расчёт[[#This Row],[5
Кол-во]]*Расчёт[[#This Row],[10
Цена Вход]]</f>
        <v>3350</v>
      </c>
      <c r="L87" s="213" t="s">
        <v>32</v>
      </c>
      <c r="M87" s="205"/>
      <c r="N87" s="206"/>
      <c r="O87" s="207"/>
      <c r="P87" s="208"/>
      <c r="Q87" s="209">
        <f>Расчёт[[#This Row],[5
Кол-во]]*Расчёт[[#This Row],[16
Вес]]</f>
        <v>0</v>
      </c>
      <c r="R87" s="208"/>
      <c r="S87" s="209">
        <f>Расчёт[[#This Row],[5
Кол-во]]*Расчёт[[#This Row],[18
Объём]]</f>
        <v>0</v>
      </c>
      <c r="T87" s="212" t="s">
        <v>21</v>
      </c>
      <c r="U87" s="197">
        <v>0</v>
      </c>
      <c r="V87" s="210" t="s">
        <v>20</v>
      </c>
      <c r="W87" s="219">
        <v>6700</v>
      </c>
      <c r="X87" s="198" t="s">
        <v>32</v>
      </c>
      <c r="Y87" s="211">
        <f>Расчёт[[#This Row],[5
Кол-во]]*Расчёт[[#This Row],[21
Цена GPL]]</f>
        <v>0</v>
      </c>
      <c r="Z87" s="211">
        <f>Расчёт[[#This Row],[5
Кол-во]]*Расчёт[[#This Row],[23
Цена Вход]]</f>
        <v>201000</v>
      </c>
    </row>
    <row r="88" spans="1:26" ht="26.4" x14ac:dyDescent="0.25">
      <c r="A88" s="199"/>
      <c r="B88" s="200" t="s">
        <v>375</v>
      </c>
      <c r="C88" s="201" t="s">
        <v>390</v>
      </c>
      <c r="D88" s="202" t="s">
        <v>391</v>
      </c>
      <c r="E88" s="203">
        <v>30</v>
      </c>
      <c r="F88" s="204" t="s">
        <v>29</v>
      </c>
      <c r="G8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8" s="196">
        <f t="shared" si="10"/>
        <v>0</v>
      </c>
      <c r="I88" s="153" t="str">
        <f t="shared" si="11"/>
        <v/>
      </c>
      <c r="J8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187.5</v>
      </c>
      <c r="K88" s="231">
        <f>Расчёт[[#This Row],[5
Кол-во]]*Расчёт[[#This Row],[10
Цена Вход]]</f>
        <v>5625</v>
      </c>
      <c r="L88" s="213" t="s">
        <v>32</v>
      </c>
      <c r="M88" s="205"/>
      <c r="N88" s="206"/>
      <c r="O88" s="207"/>
      <c r="P88" s="208"/>
      <c r="Q88" s="209">
        <f>Расчёт[[#This Row],[5
Кол-во]]*Расчёт[[#This Row],[16
Вес]]</f>
        <v>0</v>
      </c>
      <c r="R88" s="208"/>
      <c r="S88" s="209">
        <f>Расчёт[[#This Row],[5
Кол-во]]*Расчёт[[#This Row],[18
Объём]]</f>
        <v>0</v>
      </c>
      <c r="T88" s="212" t="s">
        <v>21</v>
      </c>
      <c r="U88" s="197">
        <v>0</v>
      </c>
      <c r="V88" s="210" t="s">
        <v>20</v>
      </c>
      <c r="W88" s="219">
        <v>11250</v>
      </c>
      <c r="X88" s="198" t="s">
        <v>32</v>
      </c>
      <c r="Y88" s="211">
        <f>Расчёт[[#This Row],[5
Кол-во]]*Расчёт[[#This Row],[21
Цена GPL]]</f>
        <v>0</v>
      </c>
      <c r="Z88" s="211">
        <f>Расчёт[[#This Row],[5
Кол-во]]*Расчёт[[#This Row],[23
Цена Вход]]</f>
        <v>337500</v>
      </c>
    </row>
    <row r="89" spans="1:26" ht="39.6" x14ac:dyDescent="0.25">
      <c r="A89" s="199" t="s">
        <v>392</v>
      </c>
      <c r="B89" s="200" t="s">
        <v>375</v>
      </c>
      <c r="C89" s="201" t="s">
        <v>393</v>
      </c>
      <c r="D89" s="202" t="s">
        <v>394</v>
      </c>
      <c r="E89" s="203">
        <v>3</v>
      </c>
      <c r="F89" s="204" t="s">
        <v>29</v>
      </c>
      <c r="G8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89" s="196">
        <f t="shared" si="10"/>
        <v>0</v>
      </c>
      <c r="I89" s="153" t="str">
        <f t="shared" si="11"/>
        <v/>
      </c>
      <c r="J8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3078.3333333333335</v>
      </c>
      <c r="K89" s="231">
        <f>Расчёт[[#This Row],[5
Кол-во]]*Расчёт[[#This Row],[10
Цена Вход]]</f>
        <v>9235</v>
      </c>
      <c r="L89" s="213" t="s">
        <v>32</v>
      </c>
      <c r="M89" s="205"/>
      <c r="N89" s="206"/>
      <c r="O89" s="207"/>
      <c r="P89" s="208"/>
      <c r="Q89" s="209">
        <f>Расчёт[[#This Row],[5
Кол-во]]*Расчёт[[#This Row],[16
Вес]]</f>
        <v>0</v>
      </c>
      <c r="R89" s="208"/>
      <c r="S89" s="209">
        <f>Расчёт[[#This Row],[5
Кол-во]]*Расчёт[[#This Row],[18
Объём]]</f>
        <v>0</v>
      </c>
      <c r="T89" s="212" t="s">
        <v>21</v>
      </c>
      <c r="U89" s="197">
        <v>0</v>
      </c>
      <c r="V89" s="210" t="s">
        <v>20</v>
      </c>
      <c r="W89" s="219">
        <v>184700</v>
      </c>
      <c r="X89" s="198" t="s">
        <v>32</v>
      </c>
      <c r="Y89" s="211">
        <f>Расчёт[[#This Row],[5
Кол-во]]*Расчёт[[#This Row],[21
Цена GPL]]</f>
        <v>0</v>
      </c>
      <c r="Z89" s="211">
        <f>Расчёт[[#This Row],[5
Кол-во]]*Расчёт[[#This Row],[23
Цена Вход]]</f>
        <v>554100</v>
      </c>
    </row>
    <row r="90" spans="1:26" ht="39.6" x14ac:dyDescent="0.25">
      <c r="A90" s="199" t="s">
        <v>395</v>
      </c>
      <c r="B90" s="200" t="s">
        <v>375</v>
      </c>
      <c r="C90" s="201" t="s">
        <v>396</v>
      </c>
      <c r="D90" s="202" t="s">
        <v>397</v>
      </c>
      <c r="E90" s="203">
        <v>10</v>
      </c>
      <c r="F90" s="204" t="s">
        <v>29</v>
      </c>
      <c r="G9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90" s="196">
        <f t="shared" si="10"/>
        <v>0</v>
      </c>
      <c r="I90" s="153" t="str">
        <f t="shared" si="11"/>
        <v/>
      </c>
      <c r="J9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24</v>
      </c>
      <c r="K90" s="231">
        <f>Расчёт[[#This Row],[5
Кол-во]]*Расчёт[[#This Row],[10
Цена Вход]]</f>
        <v>240</v>
      </c>
      <c r="L90" s="213" t="s">
        <v>32</v>
      </c>
      <c r="M90" s="205"/>
      <c r="N90" s="206"/>
      <c r="O90" s="207"/>
      <c r="P90" s="208"/>
      <c r="Q90" s="209">
        <f>Расчёт[[#This Row],[5
Кол-во]]*Расчёт[[#This Row],[16
Вес]]</f>
        <v>0</v>
      </c>
      <c r="R90" s="208"/>
      <c r="S90" s="209">
        <f>Расчёт[[#This Row],[5
Кол-во]]*Расчёт[[#This Row],[18
Объём]]</f>
        <v>0</v>
      </c>
      <c r="T90" s="212" t="s">
        <v>21</v>
      </c>
      <c r="U90" s="197">
        <v>0</v>
      </c>
      <c r="V90" s="210" t="s">
        <v>20</v>
      </c>
      <c r="W90" s="219">
        <v>1440</v>
      </c>
      <c r="X90" s="198" t="s">
        <v>32</v>
      </c>
      <c r="Y90" s="211">
        <f>Расчёт[[#This Row],[5
Кол-во]]*Расчёт[[#This Row],[21
Цена GPL]]</f>
        <v>0</v>
      </c>
      <c r="Z90" s="211">
        <f>Расчёт[[#This Row],[5
Кол-во]]*Расчёт[[#This Row],[23
Цена Вход]]</f>
        <v>14400</v>
      </c>
    </row>
    <row r="91" spans="1:26" ht="26.4" x14ac:dyDescent="0.25">
      <c r="A91" s="199"/>
      <c r="B91" s="200"/>
      <c r="C91" s="201" t="s">
        <v>398</v>
      </c>
      <c r="D91" s="202" t="s">
        <v>399</v>
      </c>
      <c r="E91" s="203">
        <v>1</v>
      </c>
      <c r="F91" s="204" t="s">
        <v>29</v>
      </c>
      <c r="G9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91" s="196">
        <f t="shared" si="10"/>
        <v>0</v>
      </c>
      <c r="I91" s="153" t="str">
        <f t="shared" si="11"/>
        <v/>
      </c>
      <c r="J9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19.5</v>
      </c>
      <c r="K91" s="231">
        <f>Расчёт[[#This Row],[5
Кол-во]]*Расчёт[[#This Row],[10
Цена Вход]]</f>
        <v>19.5</v>
      </c>
      <c r="L91" s="213" t="s">
        <v>32</v>
      </c>
      <c r="M91" s="205"/>
      <c r="N91" s="206"/>
      <c r="O91" s="207"/>
      <c r="P91" s="208"/>
      <c r="Q91" s="209">
        <f>Расчёт[[#This Row],[5
Кол-во]]*Расчёт[[#This Row],[16
Вес]]</f>
        <v>0</v>
      </c>
      <c r="R91" s="208"/>
      <c r="S91" s="209">
        <f>Расчёт[[#This Row],[5
Кол-во]]*Расчёт[[#This Row],[18
Объём]]</f>
        <v>0</v>
      </c>
      <c r="T91" s="212" t="s">
        <v>21</v>
      </c>
      <c r="U91" s="197">
        <v>0</v>
      </c>
      <c r="V91" s="210" t="s">
        <v>20</v>
      </c>
      <c r="W91" s="219">
        <v>1170</v>
      </c>
      <c r="X91" s="198" t="s">
        <v>32</v>
      </c>
      <c r="Y91" s="211">
        <f>Расчёт[[#This Row],[5
Кол-во]]*Расчёт[[#This Row],[21
Цена GPL]]</f>
        <v>0</v>
      </c>
      <c r="Z91" s="211">
        <f>Расчёт[[#This Row],[5
Кол-во]]*Расчёт[[#This Row],[23
Цена Вход]]</f>
        <v>1170</v>
      </c>
    </row>
    <row r="92" spans="1:26" ht="26.4" x14ac:dyDescent="0.25">
      <c r="A92" s="199"/>
      <c r="B92" s="200"/>
      <c r="C92" s="201" t="s">
        <v>400</v>
      </c>
      <c r="D92" s="202" t="s">
        <v>401</v>
      </c>
      <c r="E92" s="203">
        <v>1</v>
      </c>
      <c r="F92" s="204" t="s">
        <v>29</v>
      </c>
      <c r="G9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92" s="196">
        <f t="shared" si="10"/>
        <v>0</v>
      </c>
      <c r="I92" s="153" t="str">
        <f t="shared" si="11"/>
        <v/>
      </c>
      <c r="J9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11.333333333333334</v>
      </c>
      <c r="K92" s="231">
        <f>Расчёт[[#This Row],[5
Кол-во]]*Расчёт[[#This Row],[10
Цена Вход]]</f>
        <v>11.333333333333334</v>
      </c>
      <c r="L92" s="213" t="s">
        <v>32</v>
      </c>
      <c r="M92" s="205"/>
      <c r="N92" s="206"/>
      <c r="O92" s="207"/>
      <c r="P92" s="208"/>
      <c r="Q92" s="209">
        <f>Расчёт[[#This Row],[5
Кол-во]]*Расчёт[[#This Row],[16
Вес]]</f>
        <v>0</v>
      </c>
      <c r="R92" s="208"/>
      <c r="S92" s="209">
        <f>Расчёт[[#This Row],[5
Кол-во]]*Расчёт[[#This Row],[18
Объём]]</f>
        <v>0</v>
      </c>
      <c r="T92" s="212" t="s">
        <v>21</v>
      </c>
      <c r="U92" s="197">
        <v>0</v>
      </c>
      <c r="V92" s="210" t="s">
        <v>20</v>
      </c>
      <c r="W92" s="219">
        <v>680</v>
      </c>
      <c r="X92" s="198" t="s">
        <v>32</v>
      </c>
      <c r="Y92" s="211">
        <f>Расчёт[[#This Row],[5
Кол-во]]*Расчёт[[#This Row],[21
Цена GPL]]</f>
        <v>0</v>
      </c>
      <c r="Z92" s="211">
        <f>Расчёт[[#This Row],[5
Кол-во]]*Расчёт[[#This Row],[23
Цена Вход]]</f>
        <v>680</v>
      </c>
    </row>
    <row r="93" spans="1:26" ht="26.4" x14ac:dyDescent="0.25">
      <c r="A93" s="199" t="s">
        <v>402</v>
      </c>
      <c r="B93" s="200"/>
      <c r="C93" s="201" t="s">
        <v>403</v>
      </c>
      <c r="D93" s="202" t="s">
        <v>404</v>
      </c>
      <c r="E93" s="203">
        <v>1</v>
      </c>
      <c r="F93" s="204" t="s">
        <v>29</v>
      </c>
      <c r="G9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93" s="196">
        <f t="shared" si="10"/>
        <v>0</v>
      </c>
      <c r="I93" s="153" t="str">
        <f t="shared" si="11"/>
        <v/>
      </c>
      <c r="J9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19.5</v>
      </c>
      <c r="K93" s="231">
        <f>Расчёт[[#This Row],[5
Кол-во]]*Расчёт[[#This Row],[10
Цена Вход]]</f>
        <v>19.5</v>
      </c>
      <c r="L93" s="213" t="s">
        <v>32</v>
      </c>
      <c r="M93" s="205"/>
      <c r="N93" s="206"/>
      <c r="O93" s="207"/>
      <c r="P93" s="208"/>
      <c r="Q93" s="209">
        <f>Расчёт[[#This Row],[5
Кол-во]]*Расчёт[[#This Row],[16
Вес]]</f>
        <v>0</v>
      </c>
      <c r="R93" s="208"/>
      <c r="S93" s="209">
        <f>Расчёт[[#This Row],[5
Кол-во]]*Расчёт[[#This Row],[18
Объём]]</f>
        <v>0</v>
      </c>
      <c r="T93" s="212" t="s">
        <v>21</v>
      </c>
      <c r="U93" s="197">
        <v>0</v>
      </c>
      <c r="V93" s="210" t="s">
        <v>20</v>
      </c>
      <c r="W93" s="219">
        <v>1170</v>
      </c>
      <c r="X93" s="198" t="s">
        <v>32</v>
      </c>
      <c r="Y93" s="211">
        <f>Расчёт[[#This Row],[5
Кол-во]]*Расчёт[[#This Row],[21
Цена GPL]]</f>
        <v>0</v>
      </c>
      <c r="Z93" s="211">
        <f>Расчёт[[#This Row],[5
Кол-во]]*Расчёт[[#This Row],[23
Цена Вход]]</f>
        <v>1170</v>
      </c>
    </row>
    <row r="94" spans="1:26" ht="26.4" x14ac:dyDescent="0.25">
      <c r="A94" s="199" t="s">
        <v>405</v>
      </c>
      <c r="B94" s="200"/>
      <c r="C94" s="201" t="s">
        <v>406</v>
      </c>
      <c r="D94" s="202" t="s">
        <v>407</v>
      </c>
      <c r="E94" s="203">
        <v>1</v>
      </c>
      <c r="F94" s="204" t="s">
        <v>29</v>
      </c>
      <c r="G9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94" s="196">
        <f t="shared" ref="H94:H112" si="12">E94*G94</f>
        <v>0</v>
      </c>
      <c r="I94" s="153" t="str">
        <f t="shared" ref="I94:I112" si="13">IFERROR((G94-J94)/G94,"")</f>
        <v/>
      </c>
      <c r="J9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11.333333333333334</v>
      </c>
      <c r="K94" s="231">
        <f>Расчёт[[#This Row],[5
Кол-во]]*Расчёт[[#This Row],[10
Цена Вход]]</f>
        <v>11.333333333333334</v>
      </c>
      <c r="L94" s="213" t="s">
        <v>32</v>
      </c>
      <c r="M94" s="205"/>
      <c r="N94" s="206"/>
      <c r="O94" s="207"/>
      <c r="P94" s="208"/>
      <c r="Q94" s="209">
        <f>Расчёт[[#This Row],[5
Кол-во]]*Расчёт[[#This Row],[16
Вес]]</f>
        <v>0</v>
      </c>
      <c r="R94" s="208"/>
      <c r="S94" s="209">
        <f>Расчёт[[#This Row],[5
Кол-во]]*Расчёт[[#This Row],[18
Объём]]</f>
        <v>0</v>
      </c>
      <c r="T94" s="212" t="s">
        <v>21</v>
      </c>
      <c r="U94" s="197">
        <v>0</v>
      </c>
      <c r="V94" s="210" t="s">
        <v>20</v>
      </c>
      <c r="W94" s="219">
        <v>680</v>
      </c>
      <c r="X94" s="198" t="s">
        <v>32</v>
      </c>
      <c r="Y94" s="211">
        <f>Расчёт[[#This Row],[5
Кол-во]]*Расчёт[[#This Row],[21
Цена GPL]]</f>
        <v>0</v>
      </c>
      <c r="Z94" s="211">
        <f>Расчёт[[#This Row],[5
Кол-во]]*Расчёт[[#This Row],[23
Цена Вход]]</f>
        <v>680</v>
      </c>
    </row>
    <row r="95" spans="1:26" x14ac:dyDescent="0.25">
      <c r="A95" s="199" t="s">
        <v>408</v>
      </c>
      <c r="B95" s="200"/>
      <c r="C95" s="201"/>
      <c r="D95" s="202" t="s">
        <v>409</v>
      </c>
      <c r="E95" s="203"/>
      <c r="F95" s="204"/>
      <c r="G9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95" s="196">
        <f t="shared" si="12"/>
        <v>0</v>
      </c>
      <c r="I95" s="153" t="str">
        <f t="shared" si="13"/>
        <v/>
      </c>
      <c r="J9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95" s="231">
        <f>Расчёт[[#This Row],[5
Кол-во]]*Расчёт[[#This Row],[10
Цена Вход]]</f>
        <v>0</v>
      </c>
      <c r="L95" s="213" t="s">
        <v>32</v>
      </c>
      <c r="M95" s="205"/>
      <c r="N95" s="206"/>
      <c r="O95" s="207"/>
      <c r="P95" s="208"/>
      <c r="Q95" s="209">
        <f>Расчёт[[#This Row],[5
Кол-во]]*Расчёт[[#This Row],[16
Вес]]</f>
        <v>0</v>
      </c>
      <c r="R95" s="208"/>
      <c r="S95" s="209">
        <f>Расчёт[[#This Row],[5
Кол-во]]*Расчёт[[#This Row],[18
Объём]]</f>
        <v>0</v>
      </c>
      <c r="T95" s="212" t="s">
        <v>21</v>
      </c>
      <c r="U95" s="197">
        <v>0</v>
      </c>
      <c r="V95" s="210" t="s">
        <v>20</v>
      </c>
      <c r="W95" s="219">
        <v>0</v>
      </c>
      <c r="X95" s="198" t="s">
        <v>32</v>
      </c>
      <c r="Y95" s="211">
        <f>Расчёт[[#This Row],[5
Кол-во]]*Расчёт[[#This Row],[21
Цена GPL]]</f>
        <v>0</v>
      </c>
      <c r="Z95" s="211">
        <f>Расчёт[[#This Row],[5
Кол-во]]*Расчёт[[#This Row],[23
Цена Вход]]</f>
        <v>0</v>
      </c>
    </row>
    <row r="96" spans="1:26" x14ac:dyDescent="0.25">
      <c r="A96" s="199"/>
      <c r="B96" s="200" t="s">
        <v>410</v>
      </c>
      <c r="C96" s="201" t="s">
        <v>411</v>
      </c>
      <c r="D96" s="202" t="s">
        <v>412</v>
      </c>
      <c r="E96" s="203">
        <v>2</v>
      </c>
      <c r="F96" s="204" t="s">
        <v>29</v>
      </c>
      <c r="G9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12980</v>
      </c>
      <c r="H96" s="196">
        <f t="shared" si="12"/>
        <v>25960</v>
      </c>
      <c r="I96" s="153">
        <f t="shared" si="13"/>
        <v>0.45</v>
      </c>
      <c r="J9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7139</v>
      </c>
      <c r="K96" s="231">
        <f>Расчёт[[#This Row],[5
Кол-во]]*Расчёт[[#This Row],[10
Цена Вход]]</f>
        <v>14278</v>
      </c>
      <c r="L96" s="213" t="s">
        <v>30</v>
      </c>
      <c r="M96" s="205"/>
      <c r="N96" s="206"/>
      <c r="O96" s="207"/>
      <c r="P96" s="208"/>
      <c r="Q96" s="209">
        <f>Расчёт[[#This Row],[5
Кол-во]]*Расчёт[[#This Row],[16
Вес]]</f>
        <v>0</v>
      </c>
      <c r="R96" s="208"/>
      <c r="S96" s="209">
        <f>Расчёт[[#This Row],[5
Кол-во]]*Расчёт[[#This Row],[18
Объём]]</f>
        <v>0</v>
      </c>
      <c r="T96" s="212" t="s">
        <v>21</v>
      </c>
      <c r="U96" s="197">
        <v>12980</v>
      </c>
      <c r="V96" s="210" t="s">
        <v>21</v>
      </c>
      <c r="W96" s="219">
        <v>7139</v>
      </c>
      <c r="X96" s="198" t="s">
        <v>30</v>
      </c>
      <c r="Y96" s="211">
        <f>Расчёт[[#This Row],[5
Кол-во]]*Расчёт[[#This Row],[21
Цена GPL]]</f>
        <v>25960</v>
      </c>
      <c r="Z96" s="211">
        <f>Расчёт[[#This Row],[5
Кол-во]]*Расчёт[[#This Row],[23
Цена Вход]]</f>
        <v>14278</v>
      </c>
    </row>
    <row r="97" spans="1:26" x14ac:dyDescent="0.25">
      <c r="A97" s="199"/>
      <c r="B97" s="200" t="s">
        <v>410</v>
      </c>
      <c r="C97" s="201" t="s">
        <v>413</v>
      </c>
      <c r="D97" s="202" t="s">
        <v>414</v>
      </c>
      <c r="E97" s="203">
        <v>2</v>
      </c>
      <c r="F97" s="204" t="s">
        <v>29</v>
      </c>
      <c r="G9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2625</v>
      </c>
      <c r="H97" s="196">
        <f t="shared" si="12"/>
        <v>5250</v>
      </c>
      <c r="I97" s="153">
        <f t="shared" si="13"/>
        <v>0.24990476190476191</v>
      </c>
      <c r="J9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1969</v>
      </c>
      <c r="K97" s="231">
        <f>Расчёт[[#This Row],[5
Кол-во]]*Расчёт[[#This Row],[10
Цена Вход]]</f>
        <v>3938</v>
      </c>
      <c r="L97" s="213" t="s">
        <v>30</v>
      </c>
      <c r="M97" s="205"/>
      <c r="N97" s="206"/>
      <c r="O97" s="207"/>
      <c r="P97" s="208"/>
      <c r="Q97" s="209">
        <f>Расчёт[[#This Row],[5
Кол-во]]*Расчёт[[#This Row],[16
Вес]]</f>
        <v>0</v>
      </c>
      <c r="R97" s="208"/>
      <c r="S97" s="209">
        <f>Расчёт[[#This Row],[5
Кол-во]]*Расчёт[[#This Row],[18
Объём]]</f>
        <v>0</v>
      </c>
      <c r="T97" s="212" t="s">
        <v>21</v>
      </c>
      <c r="U97" s="197">
        <v>2625</v>
      </c>
      <c r="V97" s="210" t="s">
        <v>21</v>
      </c>
      <c r="W97" s="219">
        <v>1969</v>
      </c>
      <c r="X97" s="198" t="s">
        <v>30</v>
      </c>
      <c r="Y97" s="211">
        <f>Расчёт[[#This Row],[5
Кол-во]]*Расчёт[[#This Row],[21
Цена GPL]]</f>
        <v>5250</v>
      </c>
      <c r="Z97" s="211">
        <f>Расчёт[[#This Row],[5
Кол-во]]*Расчёт[[#This Row],[23
Цена Вход]]</f>
        <v>3938</v>
      </c>
    </row>
    <row r="98" spans="1:26" x14ac:dyDescent="0.25">
      <c r="A98" s="199"/>
      <c r="B98" s="200" t="s">
        <v>410</v>
      </c>
      <c r="C98" s="201" t="s">
        <v>415</v>
      </c>
      <c r="D98" s="202" t="s">
        <v>416</v>
      </c>
      <c r="E98" s="203">
        <v>2</v>
      </c>
      <c r="F98" s="204" t="s">
        <v>29</v>
      </c>
      <c r="G9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2400</v>
      </c>
      <c r="H98" s="196">
        <f t="shared" si="12"/>
        <v>4800</v>
      </c>
      <c r="I98" s="153">
        <f t="shared" si="13"/>
        <v>0.5</v>
      </c>
      <c r="J9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1200</v>
      </c>
      <c r="K98" s="231">
        <f>Расчёт[[#This Row],[5
Кол-во]]*Расчёт[[#This Row],[10
Цена Вход]]</f>
        <v>2400</v>
      </c>
      <c r="L98" s="213" t="s">
        <v>30</v>
      </c>
      <c r="M98" s="205"/>
      <c r="N98" s="206"/>
      <c r="O98" s="207"/>
      <c r="P98" s="208"/>
      <c r="Q98" s="209">
        <f>Расчёт[[#This Row],[5
Кол-во]]*Расчёт[[#This Row],[16
Вес]]</f>
        <v>0</v>
      </c>
      <c r="R98" s="208"/>
      <c r="S98" s="209">
        <f>Расчёт[[#This Row],[5
Кол-во]]*Расчёт[[#This Row],[18
Объём]]</f>
        <v>0</v>
      </c>
      <c r="T98" s="212" t="s">
        <v>21</v>
      </c>
      <c r="U98" s="197">
        <v>2400</v>
      </c>
      <c r="V98" s="210" t="s">
        <v>21</v>
      </c>
      <c r="W98" s="219">
        <v>1200</v>
      </c>
      <c r="X98" s="198" t="s">
        <v>30</v>
      </c>
      <c r="Y98" s="211">
        <f>Расчёт[[#This Row],[5
Кол-во]]*Расчёт[[#This Row],[21
Цена GPL]]</f>
        <v>4800</v>
      </c>
      <c r="Z98" s="211">
        <f>Расчёт[[#This Row],[5
Кол-во]]*Расчёт[[#This Row],[23
Цена Вход]]</f>
        <v>2400</v>
      </c>
    </row>
    <row r="99" spans="1:26" x14ac:dyDescent="0.25">
      <c r="A99" s="199"/>
      <c r="B99" s="200" t="s">
        <v>410</v>
      </c>
      <c r="C99" s="201" t="s">
        <v>417</v>
      </c>
      <c r="D99" s="202" t="s">
        <v>418</v>
      </c>
      <c r="E99" s="203">
        <v>2</v>
      </c>
      <c r="F99" s="204" t="s">
        <v>29</v>
      </c>
      <c r="G9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2400</v>
      </c>
      <c r="H99" s="196">
        <f t="shared" si="12"/>
        <v>4800</v>
      </c>
      <c r="I99" s="153">
        <f t="shared" si="13"/>
        <v>0.5</v>
      </c>
      <c r="J9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1200</v>
      </c>
      <c r="K99" s="231">
        <f>Расчёт[[#This Row],[5
Кол-во]]*Расчёт[[#This Row],[10
Цена Вход]]</f>
        <v>2400</v>
      </c>
      <c r="L99" s="213" t="s">
        <v>30</v>
      </c>
      <c r="M99" s="205"/>
      <c r="N99" s="206"/>
      <c r="O99" s="207"/>
      <c r="P99" s="208"/>
      <c r="Q99" s="209">
        <f>Расчёт[[#This Row],[5
Кол-во]]*Расчёт[[#This Row],[16
Вес]]</f>
        <v>0</v>
      </c>
      <c r="R99" s="208"/>
      <c r="S99" s="209">
        <f>Расчёт[[#This Row],[5
Кол-во]]*Расчёт[[#This Row],[18
Объём]]</f>
        <v>0</v>
      </c>
      <c r="T99" s="212" t="s">
        <v>21</v>
      </c>
      <c r="U99" s="197">
        <v>2400</v>
      </c>
      <c r="V99" s="210" t="s">
        <v>21</v>
      </c>
      <c r="W99" s="219">
        <v>1200</v>
      </c>
      <c r="X99" s="198" t="s">
        <v>30</v>
      </c>
      <c r="Y99" s="211">
        <f>Расчёт[[#This Row],[5
Кол-во]]*Расчёт[[#This Row],[21
Цена GPL]]</f>
        <v>4800</v>
      </c>
      <c r="Z99" s="211">
        <f>Расчёт[[#This Row],[5
Кол-во]]*Расчёт[[#This Row],[23
Цена Вход]]</f>
        <v>2400</v>
      </c>
    </row>
    <row r="100" spans="1:26" x14ac:dyDescent="0.25">
      <c r="A100" s="199"/>
      <c r="B100" s="200" t="s">
        <v>410</v>
      </c>
      <c r="C100" s="201" t="s">
        <v>419</v>
      </c>
      <c r="D100" s="202" t="s">
        <v>420</v>
      </c>
      <c r="E100" s="203">
        <v>2</v>
      </c>
      <c r="F100" s="204" t="s">
        <v>29</v>
      </c>
      <c r="G10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2400</v>
      </c>
      <c r="H100" s="196">
        <f t="shared" si="12"/>
        <v>4800</v>
      </c>
      <c r="I100" s="153">
        <f t="shared" si="13"/>
        <v>0.5</v>
      </c>
      <c r="J10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1200</v>
      </c>
      <c r="K100" s="231">
        <f>Расчёт[[#This Row],[5
Кол-во]]*Расчёт[[#This Row],[10
Цена Вход]]</f>
        <v>2400</v>
      </c>
      <c r="L100" s="213" t="s">
        <v>30</v>
      </c>
      <c r="M100" s="205"/>
      <c r="N100" s="206"/>
      <c r="O100" s="207"/>
      <c r="P100" s="208"/>
      <c r="Q100" s="209">
        <f>Расчёт[[#This Row],[5
Кол-во]]*Расчёт[[#This Row],[16
Вес]]</f>
        <v>0</v>
      </c>
      <c r="R100" s="208"/>
      <c r="S100" s="209">
        <f>Расчёт[[#This Row],[5
Кол-во]]*Расчёт[[#This Row],[18
Объём]]</f>
        <v>0</v>
      </c>
      <c r="T100" s="212" t="s">
        <v>21</v>
      </c>
      <c r="U100" s="197">
        <v>2400</v>
      </c>
      <c r="V100" s="210" t="s">
        <v>21</v>
      </c>
      <c r="W100" s="219">
        <v>1200</v>
      </c>
      <c r="X100" s="198" t="s">
        <v>30</v>
      </c>
      <c r="Y100" s="211">
        <f>Расчёт[[#This Row],[5
Кол-во]]*Расчёт[[#This Row],[21
Цена GPL]]</f>
        <v>4800</v>
      </c>
      <c r="Z100" s="211">
        <f>Расчёт[[#This Row],[5
Кол-во]]*Расчёт[[#This Row],[23
Цена Вход]]</f>
        <v>2400</v>
      </c>
    </row>
    <row r="101" spans="1:26" x14ac:dyDescent="0.25">
      <c r="A101" s="199" t="s">
        <v>421</v>
      </c>
      <c r="B101" s="200" t="s">
        <v>410</v>
      </c>
      <c r="C101" s="201" t="s">
        <v>422</v>
      </c>
      <c r="D101" s="202" t="s">
        <v>423</v>
      </c>
      <c r="E101" s="203">
        <v>4</v>
      </c>
      <c r="F101" s="204" t="s">
        <v>29</v>
      </c>
      <c r="G10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863</v>
      </c>
      <c r="H101" s="196">
        <f t="shared" si="12"/>
        <v>3452</v>
      </c>
      <c r="I101" s="153">
        <f t="shared" si="13"/>
        <v>0.54999999999999993</v>
      </c>
      <c r="J10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388.35</v>
      </c>
      <c r="K101" s="231">
        <f>Расчёт[[#This Row],[5
Кол-во]]*Расчёт[[#This Row],[10
Цена Вход]]</f>
        <v>1553.4</v>
      </c>
      <c r="L101" s="213" t="s">
        <v>30</v>
      </c>
      <c r="M101" s="205"/>
      <c r="N101" s="206"/>
      <c r="O101" s="207"/>
      <c r="P101" s="208"/>
      <c r="Q101" s="209">
        <f>Расчёт[[#This Row],[5
Кол-во]]*Расчёт[[#This Row],[16
Вес]]</f>
        <v>0</v>
      </c>
      <c r="R101" s="208"/>
      <c r="S101" s="209">
        <f>Расчёт[[#This Row],[5
Кол-во]]*Расчёт[[#This Row],[18
Объём]]</f>
        <v>0</v>
      </c>
      <c r="T101" s="212" t="s">
        <v>21</v>
      </c>
      <c r="U101" s="197">
        <v>863</v>
      </c>
      <c r="V101" s="210" t="s">
        <v>21</v>
      </c>
      <c r="W101" s="219">
        <v>388.35</v>
      </c>
      <c r="X101" s="198" t="s">
        <v>30</v>
      </c>
      <c r="Y101" s="211">
        <f>Расчёт[[#This Row],[5
Кол-во]]*Расчёт[[#This Row],[21
Цена GPL]]</f>
        <v>3452</v>
      </c>
      <c r="Z101" s="211">
        <f>Расчёт[[#This Row],[5
Кол-во]]*Расчёт[[#This Row],[23
Цена Вход]]</f>
        <v>1553.4</v>
      </c>
    </row>
    <row r="102" spans="1:26" ht="26.4" x14ac:dyDescent="0.25">
      <c r="A102" s="199" t="s">
        <v>424</v>
      </c>
      <c r="B102" s="200" t="s">
        <v>297</v>
      </c>
      <c r="C102" s="201" t="s">
        <v>332</v>
      </c>
      <c r="D102" s="202" t="s">
        <v>333</v>
      </c>
      <c r="E102" s="203">
        <v>4</v>
      </c>
      <c r="F102" s="204" t="s">
        <v>29</v>
      </c>
      <c r="G10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02" s="196">
        <f t="shared" si="12"/>
        <v>0</v>
      </c>
      <c r="I102" s="153" t="str">
        <f t="shared" si="13"/>
        <v/>
      </c>
      <c r="J10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</v>
      </c>
      <c r="K102" s="231">
        <f>Расчёт[[#This Row],[5
Кол-во]]*Расчёт[[#This Row],[10
Цена Вход]]</f>
        <v>24</v>
      </c>
      <c r="L102" s="213" t="s">
        <v>30</v>
      </c>
      <c r="M102" s="205"/>
      <c r="N102" s="206"/>
      <c r="O102" s="207"/>
      <c r="P102" s="208"/>
      <c r="Q102" s="209">
        <f>Расчёт[[#This Row],[5
Кол-во]]*Расчёт[[#This Row],[16
Вес]]</f>
        <v>0</v>
      </c>
      <c r="R102" s="208"/>
      <c r="S102" s="209">
        <f>Расчёт[[#This Row],[5
Кол-во]]*Расчёт[[#This Row],[18
Объём]]</f>
        <v>0</v>
      </c>
      <c r="T102" s="212" t="s">
        <v>21</v>
      </c>
      <c r="U102" s="197">
        <v>0</v>
      </c>
      <c r="V102" s="210" t="s">
        <v>21</v>
      </c>
      <c r="W102" s="219">
        <v>6</v>
      </c>
      <c r="X102" s="198" t="s">
        <v>30</v>
      </c>
      <c r="Y102" s="211">
        <f>Расчёт[[#This Row],[5
Кол-во]]*Расчёт[[#This Row],[21
Цена GPL]]</f>
        <v>0</v>
      </c>
      <c r="Z102" s="211">
        <f>Расчёт[[#This Row],[5
Кол-во]]*Расчёт[[#This Row],[23
Цена Вход]]</f>
        <v>24</v>
      </c>
    </row>
    <row r="103" spans="1:26" x14ac:dyDescent="0.25">
      <c r="A103" s="199"/>
      <c r="B103" s="200"/>
      <c r="C103" s="201"/>
      <c r="D103" s="202"/>
      <c r="E103" s="203"/>
      <c r="F103" s="204"/>
      <c r="G103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03" s="196">
        <f t="shared" si="12"/>
        <v>0</v>
      </c>
      <c r="I103" s="153" t="str">
        <f t="shared" si="13"/>
        <v/>
      </c>
      <c r="J103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103" s="231">
        <f>Расчёт[[#This Row],[5
Кол-во]]*Расчёт[[#This Row],[10
Цена Вход]]</f>
        <v>0</v>
      </c>
      <c r="L103" s="213" t="s">
        <v>30</v>
      </c>
      <c r="M103" s="205"/>
      <c r="N103" s="206"/>
      <c r="O103" s="207"/>
      <c r="P103" s="208"/>
      <c r="Q103" s="209">
        <f>Расчёт[[#This Row],[5
Кол-во]]*Расчёт[[#This Row],[16
Вес]]</f>
        <v>0</v>
      </c>
      <c r="R103" s="208"/>
      <c r="S103" s="209">
        <f>Расчёт[[#This Row],[5
Кол-во]]*Расчёт[[#This Row],[18
Объём]]</f>
        <v>0</v>
      </c>
      <c r="T103" s="212" t="s">
        <v>21</v>
      </c>
      <c r="U103" s="197">
        <v>0</v>
      </c>
      <c r="V103" s="210" t="s">
        <v>21</v>
      </c>
      <c r="W103" s="219">
        <v>0</v>
      </c>
      <c r="X103" s="198" t="s">
        <v>30</v>
      </c>
      <c r="Y103" s="211">
        <f>Расчёт[[#This Row],[5
Кол-во]]*Расчёт[[#This Row],[21
Цена GPL]]</f>
        <v>0</v>
      </c>
      <c r="Z103" s="211">
        <f>Расчёт[[#This Row],[5
Кол-во]]*Расчёт[[#This Row],[23
Цена Вход]]</f>
        <v>0</v>
      </c>
    </row>
    <row r="104" spans="1:26" x14ac:dyDescent="0.25">
      <c r="A104" s="199" t="s">
        <v>425</v>
      </c>
      <c r="B104" s="200" t="s">
        <v>410</v>
      </c>
      <c r="C104" s="201" t="s">
        <v>426</v>
      </c>
      <c r="D104" s="202" t="s">
        <v>427</v>
      </c>
      <c r="E104" s="203">
        <v>2</v>
      </c>
      <c r="F104" s="204" t="s">
        <v>29</v>
      </c>
      <c r="G104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6136</v>
      </c>
      <c r="H104" s="196">
        <f t="shared" si="12"/>
        <v>12272</v>
      </c>
      <c r="I104" s="153">
        <f t="shared" si="13"/>
        <v>0.44999999999999996</v>
      </c>
      <c r="J104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3374.8</v>
      </c>
      <c r="K104" s="231">
        <f>Расчёт[[#This Row],[5
Кол-во]]*Расчёт[[#This Row],[10
Цена Вход]]</f>
        <v>6749.6</v>
      </c>
      <c r="L104" s="213" t="s">
        <v>30</v>
      </c>
      <c r="M104" s="205"/>
      <c r="N104" s="206"/>
      <c r="O104" s="207"/>
      <c r="P104" s="208"/>
      <c r="Q104" s="209">
        <f>Расчёт[[#This Row],[5
Кол-во]]*Расчёт[[#This Row],[16
Вес]]</f>
        <v>0</v>
      </c>
      <c r="R104" s="208"/>
      <c r="S104" s="209">
        <f>Расчёт[[#This Row],[5
Кол-во]]*Расчёт[[#This Row],[18
Объём]]</f>
        <v>0</v>
      </c>
      <c r="T104" s="212" t="s">
        <v>21</v>
      </c>
      <c r="U104" s="197">
        <v>6136</v>
      </c>
      <c r="V104" s="210" t="s">
        <v>21</v>
      </c>
      <c r="W104" s="219">
        <v>3374.8</v>
      </c>
      <c r="X104" s="198" t="s">
        <v>30</v>
      </c>
      <c r="Y104" s="211">
        <f>Расчёт[[#This Row],[5
Кол-во]]*Расчёт[[#This Row],[21
Цена GPL]]</f>
        <v>12272</v>
      </c>
      <c r="Z104" s="211">
        <f>Расчёт[[#This Row],[5
Кол-во]]*Расчёт[[#This Row],[23
Цена Вход]]</f>
        <v>6749.6</v>
      </c>
    </row>
    <row r="105" spans="1:26" ht="26.4" x14ac:dyDescent="0.25">
      <c r="A105" s="199" t="s">
        <v>428</v>
      </c>
      <c r="B105" s="200" t="s">
        <v>410</v>
      </c>
      <c r="C105" s="201" t="s">
        <v>429</v>
      </c>
      <c r="D105" s="202" t="s">
        <v>430</v>
      </c>
      <c r="E105" s="203">
        <v>2</v>
      </c>
      <c r="F105" s="204" t="s">
        <v>29</v>
      </c>
      <c r="G105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1200</v>
      </c>
      <c r="H105" s="196">
        <f t="shared" si="12"/>
        <v>2400</v>
      </c>
      <c r="I105" s="153">
        <f t="shared" si="13"/>
        <v>0.5</v>
      </c>
      <c r="J105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600</v>
      </c>
      <c r="K105" s="231">
        <f>Расчёт[[#This Row],[5
Кол-во]]*Расчёт[[#This Row],[10
Цена Вход]]</f>
        <v>1200</v>
      </c>
      <c r="L105" s="213" t="s">
        <v>30</v>
      </c>
      <c r="M105" s="205"/>
      <c r="N105" s="206"/>
      <c r="O105" s="207"/>
      <c r="P105" s="208"/>
      <c r="Q105" s="209">
        <f>Расчёт[[#This Row],[5
Кол-во]]*Расчёт[[#This Row],[16
Вес]]</f>
        <v>0</v>
      </c>
      <c r="R105" s="208"/>
      <c r="S105" s="209">
        <f>Расчёт[[#This Row],[5
Кол-во]]*Расчёт[[#This Row],[18
Объём]]</f>
        <v>0</v>
      </c>
      <c r="T105" s="212" t="s">
        <v>21</v>
      </c>
      <c r="U105" s="197">
        <v>1200</v>
      </c>
      <c r="V105" s="210" t="s">
        <v>21</v>
      </c>
      <c r="W105" s="219">
        <v>600</v>
      </c>
      <c r="X105" s="198" t="s">
        <v>30</v>
      </c>
      <c r="Y105" s="211">
        <f>Расчёт[[#This Row],[5
Кол-во]]*Расчёт[[#This Row],[21
Цена GPL]]</f>
        <v>2400</v>
      </c>
      <c r="Z105" s="211">
        <f>Расчёт[[#This Row],[5
Кол-во]]*Расчёт[[#This Row],[23
Цена Вход]]</f>
        <v>1200</v>
      </c>
    </row>
    <row r="106" spans="1:26" x14ac:dyDescent="0.25">
      <c r="A106" s="199" t="s">
        <v>431</v>
      </c>
      <c r="B106" s="200" t="s">
        <v>410</v>
      </c>
      <c r="C106" s="201" t="s">
        <v>432</v>
      </c>
      <c r="D106" s="202" t="s">
        <v>433</v>
      </c>
      <c r="E106" s="203">
        <v>2</v>
      </c>
      <c r="F106" s="204" t="s">
        <v>29</v>
      </c>
      <c r="G106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1200</v>
      </c>
      <c r="H106" s="196">
        <f t="shared" si="12"/>
        <v>2400</v>
      </c>
      <c r="I106" s="153">
        <f t="shared" si="13"/>
        <v>0.5</v>
      </c>
      <c r="J106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600</v>
      </c>
      <c r="K106" s="231">
        <f>Расчёт[[#This Row],[5
Кол-во]]*Расчёт[[#This Row],[10
Цена Вход]]</f>
        <v>1200</v>
      </c>
      <c r="L106" s="213" t="s">
        <v>30</v>
      </c>
      <c r="M106" s="205"/>
      <c r="N106" s="206"/>
      <c r="O106" s="207"/>
      <c r="P106" s="208"/>
      <c r="Q106" s="209">
        <f>Расчёт[[#This Row],[5
Кол-во]]*Расчёт[[#This Row],[16
Вес]]</f>
        <v>0</v>
      </c>
      <c r="R106" s="208"/>
      <c r="S106" s="209">
        <f>Расчёт[[#This Row],[5
Кол-во]]*Расчёт[[#This Row],[18
Объём]]</f>
        <v>0</v>
      </c>
      <c r="T106" s="212" t="s">
        <v>21</v>
      </c>
      <c r="U106" s="197">
        <v>1200</v>
      </c>
      <c r="V106" s="210" t="s">
        <v>21</v>
      </c>
      <c r="W106" s="219">
        <v>600</v>
      </c>
      <c r="X106" s="198" t="s">
        <v>30</v>
      </c>
      <c r="Y106" s="211">
        <f>Расчёт[[#This Row],[5
Кол-во]]*Расчёт[[#This Row],[21
Цена GPL]]</f>
        <v>2400</v>
      </c>
      <c r="Z106" s="211">
        <f>Расчёт[[#This Row],[5
Кол-во]]*Расчёт[[#This Row],[23
Цена Вход]]</f>
        <v>1200</v>
      </c>
    </row>
    <row r="107" spans="1:26" ht="26.4" x14ac:dyDescent="0.25">
      <c r="A107" s="199" t="s">
        <v>434</v>
      </c>
      <c r="B107" s="200" t="s">
        <v>410</v>
      </c>
      <c r="C107" s="201" t="s">
        <v>435</v>
      </c>
      <c r="D107" s="202" t="s">
        <v>436</v>
      </c>
      <c r="E107" s="203">
        <v>2</v>
      </c>
      <c r="F107" s="204" t="s">
        <v>29</v>
      </c>
      <c r="G107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1200</v>
      </c>
      <c r="H107" s="196">
        <f t="shared" si="12"/>
        <v>2400</v>
      </c>
      <c r="I107" s="153">
        <f t="shared" si="13"/>
        <v>0.5</v>
      </c>
      <c r="J107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600</v>
      </c>
      <c r="K107" s="231">
        <f>Расчёт[[#This Row],[5
Кол-во]]*Расчёт[[#This Row],[10
Цена Вход]]</f>
        <v>1200</v>
      </c>
      <c r="L107" s="213" t="s">
        <v>30</v>
      </c>
      <c r="M107" s="205"/>
      <c r="N107" s="206"/>
      <c r="O107" s="207"/>
      <c r="P107" s="208"/>
      <c r="Q107" s="209">
        <f>Расчёт[[#This Row],[5
Кол-во]]*Расчёт[[#This Row],[16
Вес]]</f>
        <v>0</v>
      </c>
      <c r="R107" s="208"/>
      <c r="S107" s="209">
        <f>Расчёт[[#This Row],[5
Кол-во]]*Расчёт[[#This Row],[18
Объём]]</f>
        <v>0</v>
      </c>
      <c r="T107" s="212" t="s">
        <v>21</v>
      </c>
      <c r="U107" s="197">
        <v>1200</v>
      </c>
      <c r="V107" s="210" t="s">
        <v>21</v>
      </c>
      <c r="W107" s="219">
        <v>600</v>
      </c>
      <c r="X107" s="198" t="s">
        <v>30</v>
      </c>
      <c r="Y107" s="211">
        <f>Расчёт[[#This Row],[5
Кол-во]]*Расчёт[[#This Row],[21
Цена GPL]]</f>
        <v>2400</v>
      </c>
      <c r="Z107" s="211">
        <f>Расчёт[[#This Row],[5
Кол-во]]*Расчёт[[#This Row],[23
Цена Вход]]</f>
        <v>1200</v>
      </c>
    </row>
    <row r="108" spans="1:26" x14ac:dyDescent="0.25">
      <c r="A108" s="199" t="s">
        <v>437</v>
      </c>
      <c r="B108" s="200" t="s">
        <v>410</v>
      </c>
      <c r="C108" s="201" t="s">
        <v>438</v>
      </c>
      <c r="D108" s="202" t="s">
        <v>439</v>
      </c>
      <c r="E108" s="203">
        <v>2</v>
      </c>
      <c r="F108" s="204" t="s">
        <v>29</v>
      </c>
      <c r="G108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1245</v>
      </c>
      <c r="H108" s="196">
        <f t="shared" si="12"/>
        <v>2490</v>
      </c>
      <c r="I108" s="153">
        <f t="shared" si="13"/>
        <v>0.25</v>
      </c>
      <c r="J108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933.75</v>
      </c>
      <c r="K108" s="231">
        <f>Расчёт[[#This Row],[5
Кол-во]]*Расчёт[[#This Row],[10
Цена Вход]]</f>
        <v>1867.5</v>
      </c>
      <c r="L108" s="213" t="s">
        <v>30</v>
      </c>
      <c r="M108" s="205"/>
      <c r="N108" s="206"/>
      <c r="O108" s="207"/>
      <c r="P108" s="208"/>
      <c r="Q108" s="209">
        <f>Расчёт[[#This Row],[5
Кол-во]]*Расчёт[[#This Row],[16
Вес]]</f>
        <v>0</v>
      </c>
      <c r="R108" s="208"/>
      <c r="S108" s="209">
        <f>Расчёт[[#This Row],[5
Кол-во]]*Расчёт[[#This Row],[18
Объём]]</f>
        <v>0</v>
      </c>
      <c r="T108" s="212" t="s">
        <v>21</v>
      </c>
      <c r="U108" s="197">
        <v>1245</v>
      </c>
      <c r="V108" s="210" t="s">
        <v>21</v>
      </c>
      <c r="W108" s="219">
        <v>933.75</v>
      </c>
      <c r="X108" s="198" t="s">
        <v>30</v>
      </c>
      <c r="Y108" s="211">
        <f>Расчёт[[#This Row],[5
Кол-во]]*Расчёт[[#This Row],[21
Цена GPL]]</f>
        <v>2490</v>
      </c>
      <c r="Z108" s="211">
        <f>Расчёт[[#This Row],[5
Кол-во]]*Расчёт[[#This Row],[23
Цена Вход]]</f>
        <v>1867.5</v>
      </c>
    </row>
    <row r="109" spans="1:26" x14ac:dyDescent="0.25">
      <c r="A109" s="199"/>
      <c r="B109" s="200"/>
      <c r="C109" s="201"/>
      <c r="D109" s="202"/>
      <c r="E109" s="203"/>
      <c r="F109" s="204"/>
      <c r="G109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09" s="196">
        <f t="shared" si="12"/>
        <v>0</v>
      </c>
      <c r="I109" s="153" t="str">
        <f t="shared" si="13"/>
        <v/>
      </c>
      <c r="J109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109" s="231">
        <f>Расчёт[[#This Row],[5
Кол-во]]*Расчёт[[#This Row],[10
Цена Вход]]</f>
        <v>0</v>
      </c>
      <c r="L109" s="213" t="s">
        <v>30</v>
      </c>
      <c r="M109" s="205"/>
      <c r="N109" s="206"/>
      <c r="O109" s="207"/>
      <c r="P109" s="208"/>
      <c r="Q109" s="209">
        <f>Расчёт[[#This Row],[5
Кол-во]]*Расчёт[[#This Row],[16
Вес]]</f>
        <v>0</v>
      </c>
      <c r="R109" s="208"/>
      <c r="S109" s="209">
        <f>Расчёт[[#This Row],[5
Кол-во]]*Расчёт[[#This Row],[18
Объём]]</f>
        <v>0</v>
      </c>
      <c r="T109" s="212"/>
      <c r="U109" s="197">
        <v>0</v>
      </c>
      <c r="V109" s="210"/>
      <c r="W109" s="219">
        <v>0</v>
      </c>
      <c r="X109" s="198"/>
      <c r="Y109" s="211">
        <f>Расчёт[[#This Row],[5
Кол-во]]*Расчёт[[#This Row],[21
Цена GPL]]</f>
        <v>0</v>
      </c>
      <c r="Z109" s="211">
        <f>Расчёт[[#This Row],[5
Кол-во]]*Расчёт[[#This Row],[23
Цена Вход]]</f>
        <v>0</v>
      </c>
    </row>
    <row r="110" spans="1:26" x14ac:dyDescent="0.25">
      <c r="A110" s="199"/>
      <c r="B110" s="200"/>
      <c r="C110" s="201"/>
      <c r="D110" s="202"/>
      <c r="E110" s="203"/>
      <c r="F110" s="204"/>
      <c r="G110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10" s="196">
        <f t="shared" si="12"/>
        <v>0</v>
      </c>
      <c r="I110" s="153" t="str">
        <f t="shared" si="13"/>
        <v/>
      </c>
      <c r="J110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110" s="231">
        <f>Расчёт[[#This Row],[5
Кол-во]]*Расчёт[[#This Row],[10
Цена Вход]]</f>
        <v>0</v>
      </c>
      <c r="L110" s="213" t="s">
        <v>30</v>
      </c>
      <c r="M110" s="205"/>
      <c r="N110" s="206"/>
      <c r="O110" s="207"/>
      <c r="P110" s="208"/>
      <c r="Q110" s="209">
        <f>Расчёт[[#This Row],[5
Кол-во]]*Расчёт[[#This Row],[16
Вес]]</f>
        <v>0</v>
      </c>
      <c r="R110" s="208"/>
      <c r="S110" s="209">
        <f>Расчёт[[#This Row],[5
Кол-во]]*Расчёт[[#This Row],[18
Объём]]</f>
        <v>0</v>
      </c>
      <c r="T110" s="212"/>
      <c r="U110" s="197">
        <v>0</v>
      </c>
      <c r="V110" s="210"/>
      <c r="W110" s="219">
        <v>0</v>
      </c>
      <c r="X110" s="198"/>
      <c r="Y110" s="211">
        <f>Расчёт[[#This Row],[5
Кол-во]]*Расчёт[[#This Row],[21
Цена GPL]]</f>
        <v>0</v>
      </c>
      <c r="Z110" s="211">
        <f>Расчёт[[#This Row],[5
Кол-во]]*Расчёт[[#This Row],[23
Цена Вход]]</f>
        <v>0</v>
      </c>
    </row>
    <row r="111" spans="1:26" x14ac:dyDescent="0.25">
      <c r="A111" s="199"/>
      <c r="B111" s="200"/>
      <c r="C111" s="201"/>
      <c r="D111" s="202"/>
      <c r="E111" s="203"/>
      <c r="F111" s="204"/>
      <c r="G111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11" s="196">
        <f t="shared" si="12"/>
        <v>0</v>
      </c>
      <c r="I111" s="153" t="str">
        <f t="shared" si="13"/>
        <v/>
      </c>
      <c r="J111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111" s="231">
        <f>Расчёт[[#This Row],[5
Кол-во]]*Расчёт[[#This Row],[10
Цена Вход]]</f>
        <v>0</v>
      </c>
      <c r="L111" s="213" t="s">
        <v>30</v>
      </c>
      <c r="M111" s="205"/>
      <c r="N111" s="206"/>
      <c r="O111" s="207"/>
      <c r="P111" s="208"/>
      <c r="Q111" s="209">
        <f>Расчёт[[#This Row],[5
Кол-во]]*Расчёт[[#This Row],[16
Вес]]</f>
        <v>0</v>
      </c>
      <c r="R111" s="208"/>
      <c r="S111" s="209">
        <f>Расчёт[[#This Row],[5
Кол-во]]*Расчёт[[#This Row],[18
Объём]]</f>
        <v>0</v>
      </c>
      <c r="T111" s="212"/>
      <c r="U111" s="197">
        <v>0</v>
      </c>
      <c r="V111" s="210"/>
      <c r="W111" s="219">
        <v>0</v>
      </c>
      <c r="X111" s="198"/>
      <c r="Y111" s="211">
        <f>Расчёт[[#This Row],[5
Кол-во]]*Расчёт[[#This Row],[21
Цена GPL]]</f>
        <v>0</v>
      </c>
      <c r="Z111" s="211">
        <f>Расчёт[[#This Row],[5
Кол-во]]*Расчёт[[#This Row],[23
Цена Вход]]</f>
        <v>0</v>
      </c>
    </row>
    <row r="112" spans="1:26" x14ac:dyDescent="0.25">
      <c r="A112" s="199"/>
      <c r="B112" s="200"/>
      <c r="C112" s="201"/>
      <c r="D112" s="202"/>
      <c r="E112" s="203"/>
      <c r="F112" s="204"/>
      <c r="G112" s="193">
        <f>Расчёт[[#This Row],[21
Цена GPL]]*IFERROR(INDEX(расчёт_курса,MATCH(валюта_расчёта,валюта,0),MATCH(Расчёт[[#This Row],[20
Валюта]],валюта,0)),0)*IFERROR(INDEX(расчёт_НДС,MATCH(Расчёт[[#This Row],[12
НДС вход]],НДС,0),MATCH(Расчёт[[#This Row],[24
НДС закупки]],НДС,0)),0)</f>
        <v>0</v>
      </c>
      <c r="H112" s="196">
        <f t="shared" si="12"/>
        <v>0</v>
      </c>
      <c r="I112" s="153" t="str">
        <f t="shared" si="13"/>
        <v/>
      </c>
      <c r="J112" s="193">
        <f>Расчёт[[#This Row],[23
Цена Вход]]*IFERROR(INDEX(расчёт_курса,MATCH(валюта_расчёта,валюта,0),MATCH(Расчёт[[#This Row],[22
Валюта]],валюта,0)),0)*IFERROR(INDEX(расчёт_НДС,MATCH(Расчёт[[#This Row],[12
НДС вход]],НДС,0),MATCH(Расчёт[[#This Row],[24
НДС закупки]],НДС,0)),0)</f>
        <v>0</v>
      </c>
      <c r="K112" s="231">
        <f>Расчёт[[#This Row],[5
Кол-во]]*Расчёт[[#This Row],[10
Цена Вход]]</f>
        <v>0</v>
      </c>
      <c r="L112" s="213" t="s">
        <v>30</v>
      </c>
      <c r="M112" s="205"/>
      <c r="N112" s="206"/>
      <c r="O112" s="207"/>
      <c r="P112" s="208"/>
      <c r="Q112" s="209">
        <f>Расчёт[[#This Row],[5
Кол-во]]*Расчёт[[#This Row],[16
Вес]]</f>
        <v>0</v>
      </c>
      <c r="R112" s="208"/>
      <c r="S112" s="209">
        <f>Расчёт[[#This Row],[5
Кол-во]]*Расчёт[[#This Row],[18
Объём]]</f>
        <v>0</v>
      </c>
      <c r="T112" s="212"/>
      <c r="U112" s="197">
        <v>0</v>
      </c>
      <c r="V112" s="210"/>
      <c r="W112" s="219">
        <v>0</v>
      </c>
      <c r="X112" s="198"/>
      <c r="Y112" s="211">
        <f>Расчёт[[#This Row],[5
Кол-во]]*Расчёт[[#This Row],[21
Цена GPL]]</f>
        <v>0</v>
      </c>
      <c r="Z112" s="211">
        <f>Расчёт[[#This Row],[5
Кол-во]]*Расчёт[[#This Row],[23
Цена Вход]]</f>
        <v>0</v>
      </c>
    </row>
    <row r="113" spans="1:26" s="173" customFormat="1" x14ac:dyDescent="0.25">
      <c r="A113" s="176"/>
      <c r="B113" s="177"/>
      <c r="C113" s="178"/>
      <c r="D113" s="179"/>
      <c r="E113" s="180"/>
      <c r="F113" s="180"/>
      <c r="G113" s="216" t="s">
        <v>10</v>
      </c>
      <c r="H113" s="228">
        <f>SUMIF(Расчёт[1
№],"&lt;&gt;",Расчёт[8
Сумма GPL])</f>
        <v>176808.2</v>
      </c>
      <c r="I113" s="182">
        <f>IFERROR((H113-K113)/H113,"")</f>
        <v>0.14112240646455665</v>
      </c>
      <c r="J113" s="216" t="s">
        <v>10</v>
      </c>
      <c r="K113" s="214">
        <f>SUMIF(Расчёт[1
№],"&lt;&gt;",Расчёт[11
Сумма Вход])</f>
        <v>151856.60133333338</v>
      </c>
      <c r="L113" s="181"/>
      <c r="M113" s="177"/>
      <c r="N113" s="176"/>
      <c r="O113" s="180"/>
      <c r="P113" s="183"/>
      <c r="Q113" s="184">
        <f>SUMIF(Расчёт[1
№],"&lt;&gt;",Расчёт[17
Всего])</f>
        <v>0</v>
      </c>
      <c r="R113" s="183"/>
      <c r="S113" s="184">
        <f>SUMIF(Расчёт[1
№],"&lt;&gt;",Расчёт[19
Всего])</f>
        <v>0</v>
      </c>
      <c r="T113" s="217"/>
      <c r="U113" s="229"/>
      <c r="V113" s="218"/>
      <c r="W113" s="215"/>
      <c r="X113" s="230"/>
      <c r="Y113" s="185"/>
      <c r="Z113" s="186"/>
    </row>
    <row r="114" spans="1:26" x14ac:dyDescent="0.25">
      <c r="A114" s="187"/>
      <c r="B114" s="187"/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7"/>
      <c r="Q114" s="187"/>
      <c r="R114" s="187"/>
      <c r="S114" s="187"/>
      <c r="T114" s="187"/>
      <c r="U114" s="187"/>
      <c r="V114" s="187"/>
      <c r="W114" s="187"/>
      <c r="X114" s="187"/>
      <c r="Y114" s="187"/>
      <c r="Z114" s="187"/>
    </row>
    <row r="115" spans="1:26" x14ac:dyDescent="0.25">
      <c r="A115" s="187"/>
      <c r="B115" s="187"/>
      <c r="C115" s="187"/>
      <c r="D115" s="187"/>
      <c r="E115" s="187"/>
      <c r="F115" s="187"/>
      <c r="G115" s="187"/>
      <c r="H115" s="187"/>
      <c r="I115" s="187"/>
      <c r="J115" s="187"/>
      <c r="K115" s="187"/>
      <c r="L115" s="187"/>
      <c r="M115" s="187"/>
      <c r="N115" s="187"/>
      <c r="O115" s="187"/>
      <c r="P115" s="187"/>
      <c r="Q115" s="187"/>
      <c r="R115" s="187"/>
      <c r="S115" s="187"/>
      <c r="T115" s="187"/>
      <c r="U115" s="187"/>
      <c r="V115" s="187"/>
      <c r="W115" s="187"/>
      <c r="X115" s="187"/>
      <c r="Y115" s="187"/>
      <c r="Z115" s="187"/>
    </row>
    <row r="116" spans="1:26" ht="29.4" x14ac:dyDescent="0.25">
      <c r="A116" s="154" t="s">
        <v>89</v>
      </c>
      <c r="B116" s="155" t="s">
        <v>58</v>
      </c>
      <c r="C116" s="155" t="s">
        <v>13</v>
      </c>
      <c r="D116" s="155" t="s">
        <v>12</v>
      </c>
      <c r="E116" s="156" t="s">
        <v>57</v>
      </c>
      <c r="F116" s="156" t="s">
        <v>216</v>
      </c>
      <c r="G116" s="157" t="s">
        <v>63</v>
      </c>
      <c r="H116" s="158" t="s">
        <v>14</v>
      </c>
    </row>
    <row r="117" spans="1:26" x14ac:dyDescent="0.25">
      <c r="A117" s="159" t="s">
        <v>70</v>
      </c>
      <c r="B117" s="151"/>
      <c r="C117" s="151"/>
      <c r="D117" s="160"/>
      <c r="E117" s="161">
        <f>вес</f>
        <v>0</v>
      </c>
      <c r="F117" s="161">
        <f>объём</f>
        <v>0</v>
      </c>
      <c r="G117" s="162"/>
      <c r="H117" s="163"/>
    </row>
    <row r="118" spans="1:26" x14ac:dyDescent="0.25">
      <c r="A118" s="164" t="s">
        <v>71</v>
      </c>
      <c r="B118" s="165"/>
      <c r="C118" s="166"/>
      <c r="D118" s="160"/>
      <c r="E118" s="167">
        <f>вес</f>
        <v>0</v>
      </c>
      <c r="F118" s="168">
        <f>объём</f>
        <v>0</v>
      </c>
      <c r="G118" s="169"/>
      <c r="H118" s="170"/>
    </row>
    <row r="119" spans="1:26" x14ac:dyDescent="0.25">
      <c r="A119" s="164" t="s">
        <v>71</v>
      </c>
      <c r="B119" s="165"/>
      <c r="C119" s="166"/>
      <c r="D119" s="160"/>
      <c r="E119" s="167">
        <f>вес</f>
        <v>0</v>
      </c>
      <c r="F119" s="168">
        <f>объём</f>
        <v>0</v>
      </c>
      <c r="G119" s="169"/>
      <c r="H119" s="170"/>
    </row>
    <row r="120" spans="1:26" x14ac:dyDescent="0.25">
      <c r="A120" s="34"/>
      <c r="B120" s="33"/>
      <c r="C120" s="33"/>
      <c r="D120" s="35" t="s">
        <v>10</v>
      </c>
      <c r="E120" s="36">
        <f>SUMIF(Доставка[Вкл. в расчёт],"=да",Доставка[Общий вес, кг])</f>
        <v>0</v>
      </c>
      <c r="F120" s="36">
        <f>SUMIF(Доставка[Вкл. в расчёт],"=да",Доставка[Общий объем, м3])</f>
        <v>0</v>
      </c>
      <c r="G120" s="37">
        <f>SUMIF(Доставка[Вкл. в расчёт],"=да",Доставка[Цена, руб. с НДС])</f>
        <v>0</v>
      </c>
      <c r="H120" s="38"/>
    </row>
  </sheetData>
  <dataConsolidate/>
  <mergeCells count="32">
    <mergeCell ref="Y12:Z12"/>
    <mergeCell ref="T13:T14"/>
    <mergeCell ref="U13:U14"/>
    <mergeCell ref="V13:V14"/>
    <mergeCell ref="W13:W14"/>
    <mergeCell ref="Y13:Y14"/>
    <mergeCell ref="Z13:Z14"/>
    <mergeCell ref="X13:X14"/>
    <mergeCell ref="T12:X12"/>
    <mergeCell ref="A2:K2"/>
    <mergeCell ref="G4:H4"/>
    <mergeCell ref="A12:A14"/>
    <mergeCell ref="B12:B14"/>
    <mergeCell ref="C12:C14"/>
    <mergeCell ref="D12:D14"/>
    <mergeCell ref="E12:E14"/>
    <mergeCell ref="F12:F14"/>
    <mergeCell ref="G12:H13"/>
    <mergeCell ref="I12:I14"/>
    <mergeCell ref="G8:H8"/>
    <mergeCell ref="A10:B10"/>
    <mergeCell ref="A9:B9"/>
    <mergeCell ref="A8:B8"/>
    <mergeCell ref="A4:B4"/>
    <mergeCell ref="J12:L13"/>
    <mergeCell ref="R12:S13"/>
    <mergeCell ref="A5:B5"/>
    <mergeCell ref="A6:B6"/>
    <mergeCell ref="P12:Q13"/>
    <mergeCell ref="M12:M14"/>
    <mergeCell ref="N12:N14"/>
    <mergeCell ref="O12:O14"/>
  </mergeCells>
  <conditionalFormatting sqref="U16:U112 Y16:Z112 W16:W112">
    <cfRule type="expression" dxfId="94" priority="9">
      <formula>OR(P16="RUR",T16="RUR")</formula>
    </cfRule>
    <cfRule type="expression" dxfId="93" priority="10">
      <formula>OR(P16="EUR",T16="EUR")</formula>
    </cfRule>
    <cfRule type="expression" dxfId="92" priority="11">
      <formula>OR(P16="USD",T16="USD")</formula>
    </cfRule>
    <cfRule type="expression" dxfId="91" priority="12">
      <formula>OR(P16="",T16="")</formula>
    </cfRule>
  </conditionalFormatting>
  <conditionalFormatting sqref="Z16:Z112 W16:W112">
    <cfRule type="expression" dxfId="90" priority="13">
      <formula>OR(S16="RUR",V16="RUR")</formula>
    </cfRule>
    <cfRule type="expression" dxfId="89" priority="14">
      <formula>OR(S16="EUR",V16="EUR")</formula>
    </cfRule>
    <cfRule type="expression" dxfId="88" priority="15">
      <formula>OR(S16="USD",V16="USD")</formula>
    </cfRule>
    <cfRule type="expression" dxfId="87" priority="16">
      <formula>OR(S16="",V16="")</formula>
    </cfRule>
  </conditionalFormatting>
  <conditionalFormatting sqref="G16:H113 J16:L113">
    <cfRule type="expression" dxfId="86" priority="6">
      <formula>валюта_расчёта="RUR"</formula>
    </cfRule>
    <cfRule type="expression" dxfId="85" priority="7">
      <formula>валюта_расчёта="EUR"</formula>
    </cfRule>
    <cfRule type="expression" dxfId="84" priority="8">
      <formula>валюта_расчёта="USD"</formula>
    </cfRule>
  </conditionalFormatting>
  <conditionalFormatting sqref="A16:Z112">
    <cfRule type="expression" dxfId="83" priority="5">
      <formula>INDIRECT(ADDRESS(ROW(),1))=""</formula>
    </cfRule>
  </conditionalFormatting>
  <dataValidations count="10">
    <dataValidation type="list" allowBlank="1" showInputMessage="1" showErrorMessage="1" sqref="E4">
      <formula1>валюта</formula1>
    </dataValidation>
    <dataValidation type="list" allowBlank="1" showInputMessage="1" showErrorMessage="1" sqref="C9">
      <formula1>отдел_закупок</formula1>
    </dataValidation>
    <dataValidation type="list" allowBlank="1" showInputMessage="1" showErrorMessage="1" sqref="B117:B119">
      <formula1>тип_доставки</formula1>
    </dataValidation>
    <dataValidation type="list" allowBlank="1" showInputMessage="1" showErrorMessage="1" sqref="A117:A119 E6">
      <formula1>"да,нет"</formula1>
    </dataValidation>
    <dataValidation type="list" showInputMessage="1" showErrorMessage="1" sqref="E5">
      <formula1>НДС</formula1>
    </dataValidation>
    <dataValidation type="list" allowBlank="1" showInputMessage="1" showErrorMessage="1" sqref="X16:X112 L16:L112 X114 L114">
      <formula1>НДС</formula1>
    </dataValidation>
    <dataValidation type="list" allowBlank="1" showInputMessage="1" showErrorMessage="1" errorTitle="Ошибочные значения в ячейке" error="Можно ввести USD, EUR или RUR" sqref="T16:T112 V16:V112 T114 V114">
      <formula1>валюта</formula1>
    </dataValidation>
    <dataValidation type="list" allowBlank="1" showInputMessage="1" showErrorMessage="1" sqref="F16:F112 F114">
      <formula1>ед_изм</formula1>
    </dataValidation>
    <dataValidation operator="greaterThanOrEqual" allowBlank="1" showInputMessage="1" showErrorMessage="1" sqref="A16:A112 A114"/>
    <dataValidation type="decimal" allowBlank="1" showInputMessage="1" showErrorMessage="1" sqref="E16:E112 E114">
      <formula1>0</formula1>
      <formula2>2000000000000000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PN_Click">
                <anchor moveWithCells="1" sizeWithCells="1">
                  <from>
                    <xdr:col>2</xdr:col>
                    <xdr:colOff>982980</xdr:colOff>
                    <xdr:row>11</xdr:row>
                    <xdr:rowOff>30480</xdr:rowOff>
                  </from>
                  <to>
                    <xdr:col>2</xdr:col>
                    <xdr:colOff>1630680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uttonDescription_Click">
                <anchor moveWithCells="1" sizeWithCells="1">
                  <from>
                    <xdr:col>3</xdr:col>
                    <xdr:colOff>2156460</xdr:colOff>
                    <xdr:row>11</xdr:row>
                    <xdr:rowOff>38100</xdr:rowOff>
                  </from>
                  <to>
                    <xdr:col>3</xdr:col>
                    <xdr:colOff>3345180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Кнопка 12">
              <controlPr defaultSize="0" print="0" autoFill="0" autoPict="0" macro="[0]!addFiveRowsLast_Click">
                <anchor moveWithCells="1" sizeWithCells="1">
                  <from>
                    <xdr:col>1</xdr:col>
                    <xdr:colOff>53340</xdr:colOff>
                    <xdr:row>112</xdr:row>
                    <xdr:rowOff>15240</xdr:rowOff>
                  </from>
                  <to>
                    <xdr:col>1</xdr:col>
                    <xdr:colOff>632460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Кнопка 15">
              <controlPr defaultSize="0" print="0" autoFill="0" autoPict="0" macro="[0]!addTwentyRowsLast_Click">
                <anchor moveWithCells="1" sizeWithCells="1">
                  <from>
                    <xdr:col>1</xdr:col>
                    <xdr:colOff>662940</xdr:colOff>
                    <xdr:row>112</xdr:row>
                    <xdr:rowOff>15240</xdr:rowOff>
                  </from>
                  <to>
                    <xdr:col>1</xdr:col>
                    <xdr:colOff>1219200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8" name="Кнопка 12">
              <controlPr defaultSize="0" print="0" autoFill="0" autoPict="0" macro="[0]!addFiveRowsFirst_Click">
                <anchor moveWithCells="1" sizeWithCells="1">
                  <from>
                    <xdr:col>1</xdr:col>
                    <xdr:colOff>45720</xdr:colOff>
                    <xdr:row>12</xdr:row>
                    <xdr:rowOff>304800</xdr:rowOff>
                  </from>
                  <to>
                    <xdr:col>1</xdr:col>
                    <xdr:colOff>624840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9" name="Кнопка 12">
              <controlPr defaultSize="0" print="0" autoFill="0" autoPict="0" macro="[0]!addTwentyRowsFirst_Click">
                <anchor moveWithCells="1" sizeWithCells="1">
                  <from>
                    <xdr:col>1</xdr:col>
                    <xdr:colOff>647700</xdr:colOff>
                    <xdr:row>12</xdr:row>
                    <xdr:rowOff>304800</xdr:rowOff>
                  </from>
                  <to>
                    <xdr:col>1</xdr:col>
                    <xdr:colOff>1226820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3" id="{00000000-000E-0000-0100-000030000000}">
            <x14:iconSet iconSet="3Arrows" custom="1">
              <x14:cfvo type="percent">
                <xm:f>0</xm:f>
              </x14:cfvo>
              <x14:cfvo type="formula">
                <xm:f>курс_USD_ЦБ*0.95</xm:f>
              </x14:cfvo>
              <x14:cfvo type="formula">
                <xm:f>курс_USD_ЦБ*1.05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54" id="{00000000-000E-0000-0100-000031000000}">
            <x14:iconSet iconSet="3Triangles" custom="1">
              <x14:cfvo type="percent">
                <xm:f>0</xm:f>
              </x14:cfvo>
              <x14:cfvo type="formula">
                <xm:f>курс_EUR_ЦБ*0.95</xm:f>
              </x14:cfvo>
              <x14:cfvo type="formula">
                <xm:f>курс_EUR_ЦБ*1.05</xm:f>
              </x14:cfvo>
              <x14:cfIcon iconSet="3Triangles" iconId="0"/>
              <x14:cfIcon iconSet="NoIcons" iconId="0"/>
              <x14:cfIcon iconSet="3Triangles" iconId="2"/>
            </x14:iconSet>
          </x14:cfRule>
          <xm:sqref>H6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>
          <x14:colorSeries theme="8" tint="-0.249977111117893"/>
          <x14:colorNegative theme="9"/>
          <x14:colorAxis rgb="FF000000"/>
          <x14:colorMarkers theme="9" tint="-0.249977111117893"/>
          <x14:colorFirst theme="9" tint="-0.249977111117893"/>
          <x14:colorLast theme="9" tint="-0.249977111117893"/>
          <x14:colorHigh theme="9" tint="-0.249977111117893"/>
          <x14:colorLow theme="9" tint="-0.249977111117893"/>
          <x14:sparklines>
            <x14:sparkline>
              <xm:f>динамика_курса_EUR</xm:f>
              <xm:sqref>H10</xm:sqref>
            </x14:sparkline>
            <x14:sparkline>
              <xm:f>динамика_курса_USD</xm:f>
              <xm:sqref>H9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P100"/>
  <sheetViews>
    <sheetView topLeftCell="A13" zoomScaleNormal="100" workbookViewId="0">
      <selection activeCell="J32" sqref="J32"/>
    </sheetView>
  </sheetViews>
  <sheetFormatPr defaultColWidth="9.109375" defaultRowHeight="14.4" outlineLevelRow="2" x14ac:dyDescent="0.3"/>
  <cols>
    <col min="1" max="1" width="9.109375" style="84"/>
    <col min="2" max="2" width="5.109375" style="85" bestFit="1" customWidth="1"/>
    <col min="3" max="3" width="15.6640625" style="84" hidden="1" customWidth="1"/>
    <col min="4" max="4" width="15.5546875" style="84" bestFit="1" customWidth="1"/>
    <col min="5" max="5" width="55.5546875" style="84" bestFit="1" customWidth="1"/>
    <col min="6" max="6" width="5.21875" style="84" bestFit="1" customWidth="1"/>
    <col min="7" max="7" width="7" style="84" hidden="1" customWidth="1"/>
    <col min="8" max="8" width="10.109375" style="84" bestFit="1" customWidth="1"/>
    <col min="9" max="9" width="11" style="84" bestFit="1" customWidth="1"/>
    <col min="10" max="10" width="10.109375" style="84" bestFit="1" customWidth="1"/>
    <col min="11" max="11" width="10" style="84" hidden="1" customWidth="1"/>
    <col min="12" max="12" width="5.77734375" style="84" customWidth="1"/>
    <col min="13" max="13" width="6.88671875" style="84" hidden="1" customWidth="1"/>
    <col min="14" max="14" width="9.77734375" style="84" customWidth="1"/>
    <col min="15" max="15" width="10" style="84" bestFit="1" customWidth="1"/>
    <col min="16" max="16" width="9.33203125" style="84" bestFit="1" customWidth="1"/>
    <col min="17" max="16384" width="9.109375" style="84"/>
  </cols>
  <sheetData>
    <row r="1" spans="2:13" x14ac:dyDescent="0.3">
      <c r="B1" s="232"/>
      <c r="C1"/>
      <c r="D1"/>
      <c r="E1"/>
      <c r="F1"/>
      <c r="G1"/>
      <c r="H1"/>
      <c r="I1"/>
      <c r="J1"/>
      <c r="K1"/>
      <c r="L1"/>
      <c r="M1"/>
    </row>
    <row r="20" spans="2:16" ht="50.4" x14ac:dyDescent="0.3">
      <c r="B20" s="238" t="s">
        <v>2</v>
      </c>
      <c r="C20" s="239" t="s">
        <v>3</v>
      </c>
      <c r="D20" s="239" t="s">
        <v>513</v>
      </c>
      <c r="E20" s="239" t="s">
        <v>5</v>
      </c>
      <c r="F20" s="239" t="s">
        <v>6</v>
      </c>
      <c r="G20" s="239" t="s">
        <v>514</v>
      </c>
      <c r="H20" s="239" t="str">
        <f>"Цена"&amp;IF(включить_НДС&lt;&gt;INDEX(НДС,3)," "&amp;включить_НДС,"")&amp;", "&amp;INDEX(валюта_кп,MATCH(валюта_расчёта,валюта,0))</f>
        <v>Цена с НДС, долларов США</v>
      </c>
      <c r="I20" s="239" t="str">
        <f>"Сумма"&amp;IF(включить_НДС&lt;&gt;INDEX(НДС,3)," "&amp;включить_НДС,"")&amp;", "&amp;INDEX(валюта_кп,MATCH(валюта_расчёта,валюта,0))</f>
        <v>Сумма с НДС, долларов США</v>
      </c>
      <c r="J20" s="239" t="str">
        <f>"НДС, "&amp;INDEX(валюта_кп,MATCH(валюта_расчёта,валюта,0))</f>
        <v>НДС, долларов США</v>
      </c>
      <c r="K20" s="239" t="s">
        <v>13</v>
      </c>
      <c r="M20" s="84" t="s">
        <v>172</v>
      </c>
      <c r="N20" s="239" t="s">
        <v>173</v>
      </c>
      <c r="O20" s="239" t="s">
        <v>174</v>
      </c>
      <c r="P20" s="239" t="s">
        <v>175</v>
      </c>
    </row>
    <row r="21" spans="2:16" x14ac:dyDescent="0.3">
      <c r="B21" s="240" t="s">
        <v>217</v>
      </c>
      <c r="C21" s="333" t="str">
        <f>'Расчёт закупки'!$D16</f>
        <v>СХД HPE MSA 2050 SAN DC SFF Storage в составе:</v>
      </c>
      <c r="D21" s="333"/>
      <c r="E21" s="333"/>
      <c r="F21" s="333"/>
      <c r="G21" s="333"/>
      <c r="H21" s="333"/>
      <c r="I21" s="333"/>
      <c r="J21" s="333"/>
      <c r="K21" s="333"/>
      <c r="M21" s="235" t="s">
        <v>440</v>
      </c>
      <c r="N21" s="235" t="s">
        <v>72</v>
      </c>
      <c r="O21" s="235" t="s">
        <v>162</v>
      </c>
      <c r="P21" s="237">
        <v>0.15</v>
      </c>
    </row>
    <row r="22" spans="2:16" outlineLevel="1" x14ac:dyDescent="0.3">
      <c r="B22" s="233" t="s">
        <v>225</v>
      </c>
      <c r="C22" s="330" t="str">
        <f>'Расчёт закупки'!$D17</f>
        <v>HPE MSA 2050 SAN DC SFF Storage</v>
      </c>
      <c r="D22" s="331"/>
      <c r="E22" s="332"/>
      <c r="F22" s="334">
        <f>'Расчёт закупки'!$E17</f>
        <v>1</v>
      </c>
      <c r="G22" s="334" t="str">
        <f>INDEX(ед_изм,2)</f>
        <v>компл</v>
      </c>
      <c r="H22" s="327">
        <f>ROUND(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SUM(IF(INDEX(источник,1)=$O22,'Расчёт закупки'!$H$17,'Расчёт закупки'!$K$17)*IF(INDEX(прибыль,1)=$N22,(1+$P22),1/(1-$P22)),IF(INDEX(источник,1)=$O23,'Расчёт закупки'!$H$18,'Расчёт закупки'!$K$18)*IF(INDEX(прибыль,1)=$N23,(1+$P23),1/(1-$P23)),IF(INDEX(источник,1)=$O24,'Расчёт закупки'!$H$19,'Расчёт закупки'!$K$19)*IF(INDEX(прибыль,1)=$N24,(1+$P24),1/(1-$P24)),IF(INDEX(источник,1)=$O25,'Расчёт закупки'!$H$20,'Расчёт закупки'!$K$20)*IF(INDEX(прибыль,1)=$N25,(1+$P25),1/(1-$P25)),IF(INDEX(источник,1)=$O26,'Расчёт закупки'!$H$21,'Расчёт закупки'!$K$21)*IF(INDEX(прибыль,1)=$N26,(1+$P26),1/(1-$P26)),IF(INDEX(источник,1)=$O27,'Расчёт закупки'!$H$22,'Расчёт закупки'!$K$22)*IF(INDEX(прибыль,1)=$N27,(1+$P27),1/(1-$P27)),IF(INDEX(источник,1)=$O28,'Расчёт закупки'!$H$23,'Расчёт закупки'!$K$23)*IF(INDEX(прибыль,1)=$N28,(1+$P28),1/(1-$P28)))/$F22,2)</f>
        <v>18682.97</v>
      </c>
      <c r="I22" s="327">
        <f>$F22*$H22</f>
        <v>18682.97</v>
      </c>
      <c r="J22" s="327">
        <f>ROUND($I22*IF(включить_НДС=INDEX(НДС,1),0.18/1.18,IF(включить_НДС=INDEX(НДС,2),0.18,0)),2)</f>
        <v>2849.94</v>
      </c>
      <c r="K22" s="234">
        <f>'Расчёт закупки'!$M17</f>
        <v>0</v>
      </c>
      <c r="M22" s="235" t="s">
        <v>441</v>
      </c>
      <c r="N22" s="235" t="s">
        <v>72</v>
      </c>
      <c r="O22" s="235" t="s">
        <v>162</v>
      </c>
      <c r="P22" s="237">
        <v>0.15</v>
      </c>
    </row>
    <row r="23" spans="2:16" outlineLevel="2" x14ac:dyDescent="0.3">
      <c r="B23" s="233" t="s">
        <v>569</v>
      </c>
      <c r="C23" s="234" t="str">
        <f>'Расчёт закупки'!$B18</f>
        <v>HPE</v>
      </c>
      <c r="D23" s="234" t="str">
        <f>'Расчёт закупки'!$C18</f>
        <v>J9F48A</v>
      </c>
      <c r="E23" s="234" t="str">
        <f>'Расчёт закупки'!$D18&amp;" - "&amp;'Расчёт закупки'!$E18/$F$22&amp;" "&amp;'Расчёт закупки'!$F18</f>
        <v>HPE MSA 1.2TB 12G SAS 10K 2.5in ENT HDD - 12 шт</v>
      </c>
      <c r="F23" s="335"/>
      <c r="G23" s="335"/>
      <c r="H23" s="328"/>
      <c r="I23" s="328"/>
      <c r="J23" s="328"/>
      <c r="K23" s="234">
        <f>'Расчёт закупки'!$M18</f>
        <v>0</v>
      </c>
      <c r="M23" s="235" t="s">
        <v>442</v>
      </c>
      <c r="N23" s="235" t="s">
        <v>72</v>
      </c>
      <c r="O23" s="235" t="s">
        <v>162</v>
      </c>
      <c r="P23" s="237">
        <v>0.15</v>
      </c>
    </row>
    <row r="24" spans="2:16" outlineLevel="2" x14ac:dyDescent="0.3">
      <c r="B24" s="233" t="s">
        <v>570</v>
      </c>
      <c r="C24" s="234" t="str">
        <f>'Расчёт закупки'!$B19</f>
        <v>HPE</v>
      </c>
      <c r="D24" s="234" t="str">
        <f>'Расчёт закупки'!$C19</f>
        <v>J9F48A#0D1</v>
      </c>
      <c r="E24" s="234" t="str">
        <f>'Расчёт закупки'!$D19&amp;" - "&amp;'Расчёт закупки'!$E19/$F$22&amp;" "&amp;'Расчёт закупки'!$F19</f>
        <v>Factory integrated - 12 шт</v>
      </c>
      <c r="F24" s="335"/>
      <c r="G24" s="335"/>
      <c r="H24" s="328"/>
      <c r="I24" s="328"/>
      <c r="J24" s="328"/>
      <c r="K24" s="234">
        <f>'Расчёт закупки'!$M19</f>
        <v>0</v>
      </c>
      <c r="M24" s="235" t="s">
        <v>443</v>
      </c>
      <c r="N24" s="235" t="s">
        <v>72</v>
      </c>
      <c r="O24" s="235" t="s">
        <v>162</v>
      </c>
      <c r="P24" s="237">
        <v>0.15</v>
      </c>
    </row>
    <row r="25" spans="2:16" outlineLevel="2" x14ac:dyDescent="0.3">
      <c r="B25" s="233" t="s">
        <v>571</v>
      </c>
      <c r="C25" s="234" t="str">
        <f>'Расчёт закупки'!$B20</f>
        <v>HPE</v>
      </c>
      <c r="D25" s="234" t="str">
        <f>'Расчёт закупки'!$C20</f>
        <v>C8R25B</v>
      </c>
      <c r="E25" s="234" t="str">
        <f>'Расчёт закупки'!$D20&amp;" - "&amp;'Расчёт закупки'!$E20/$F$22&amp;" "&amp;'Расчёт закупки'!$F20</f>
        <v>HPE MSA 10Gb SR iSCSI SFP 4pk XCVR - 1 шт</v>
      </c>
      <c r="F25" s="335"/>
      <c r="G25" s="335"/>
      <c r="H25" s="328"/>
      <c r="I25" s="328"/>
      <c r="J25" s="328"/>
      <c r="K25" s="234">
        <f>'Расчёт закупки'!$M20</f>
        <v>0</v>
      </c>
      <c r="M25" s="235" t="s">
        <v>444</v>
      </c>
      <c r="N25" s="235" t="s">
        <v>72</v>
      </c>
      <c r="O25" s="235" t="s">
        <v>162</v>
      </c>
      <c r="P25" s="237">
        <v>0.15</v>
      </c>
    </row>
    <row r="26" spans="2:16" outlineLevel="2" x14ac:dyDescent="0.3">
      <c r="B26" s="233" t="s">
        <v>572</v>
      </c>
      <c r="C26" s="234" t="str">
        <f>'Расчёт закупки'!$B21</f>
        <v>HPE</v>
      </c>
      <c r="D26" s="234" t="str">
        <f>'Расчёт закупки'!$C21</f>
        <v>C8R25B#0D1</v>
      </c>
      <c r="E26" s="234" t="str">
        <f>'Расчёт закупки'!$D21&amp;" - "&amp;'Расчёт закупки'!$E21/$F$22&amp;" "&amp;'Расчёт закупки'!$F21</f>
        <v>Factory integrated - 1 шт</v>
      </c>
      <c r="F26" s="335"/>
      <c r="G26" s="335"/>
      <c r="H26" s="328"/>
      <c r="I26" s="328"/>
      <c r="J26" s="328"/>
      <c r="K26" s="234">
        <f>'Расчёт закупки'!$M21</f>
        <v>0</v>
      </c>
      <c r="M26" s="235" t="s">
        <v>445</v>
      </c>
      <c r="N26" s="235" t="s">
        <v>72</v>
      </c>
      <c r="O26" s="235" t="s">
        <v>162</v>
      </c>
      <c r="P26" s="237">
        <v>0.15</v>
      </c>
    </row>
    <row r="27" spans="2:16" outlineLevel="2" x14ac:dyDescent="0.3">
      <c r="B27" s="233" t="s">
        <v>573</v>
      </c>
      <c r="C27" s="234" t="str">
        <f>'Расчёт закупки'!$B22</f>
        <v>HPE</v>
      </c>
      <c r="D27" s="234" t="str">
        <f>'Расчёт закупки'!$C22</f>
        <v>H7J32A3</v>
      </c>
      <c r="E27" s="234" t="str">
        <f>'Расчёт закупки'!$D22&amp;" - "&amp;'Расчёт закупки'!$E22/$F$22&amp;" "&amp;'Расчёт закупки'!$F22</f>
        <v>HPE 3Y Foundation Care NBD Service - 1 шт</v>
      </c>
      <c r="F27" s="335"/>
      <c r="G27" s="335"/>
      <c r="H27" s="328"/>
      <c r="I27" s="328"/>
      <c r="J27" s="328"/>
      <c r="K27" s="234">
        <f>'Расчёт закупки'!$M22</f>
        <v>0</v>
      </c>
      <c r="M27" s="235" t="s">
        <v>446</v>
      </c>
      <c r="N27" s="235" t="s">
        <v>72</v>
      </c>
      <c r="O27" s="235" t="s">
        <v>162</v>
      </c>
      <c r="P27" s="237">
        <v>0.15</v>
      </c>
    </row>
    <row r="28" spans="2:16" outlineLevel="2" x14ac:dyDescent="0.3">
      <c r="B28" s="233" t="s">
        <v>574</v>
      </c>
      <c r="C28" s="234" t="str">
        <f>'Расчёт закупки'!$B23</f>
        <v>HPE</v>
      </c>
      <c r="D28" s="234" t="str">
        <f>'Расчёт закупки'!$C23</f>
        <v>H7J32A3#RC0</v>
      </c>
      <c r="E28" s="234" t="str">
        <f>'Расчёт закупки'!$D23&amp;" - "&amp;'Расчёт закупки'!$E23/$F$22&amp;" "&amp;'Расчёт закупки'!$F23</f>
        <v>HPE MSA 2050 Storage Support - 1 шт</v>
      </c>
      <c r="F28" s="336"/>
      <c r="G28" s="336"/>
      <c r="H28" s="329"/>
      <c r="I28" s="329"/>
      <c r="J28" s="329"/>
      <c r="K28" s="234">
        <f>'Расчёт закупки'!$M23</f>
        <v>0</v>
      </c>
      <c r="M28" s="235" t="s">
        <v>447</v>
      </c>
      <c r="N28" s="235" t="s">
        <v>72</v>
      </c>
      <c r="O28" s="235" t="s">
        <v>162</v>
      </c>
      <c r="P28" s="237">
        <v>0.15</v>
      </c>
    </row>
    <row r="29" spans="2:16" x14ac:dyDescent="0.3">
      <c r="B29" s="324" t="str">
        <f>"ПОДЫТОГ"&amp;IF(включить_НДС&lt;&gt;INDEX(НДС,3)," "&amp;включить_НДС,"")&amp;", "&amp;INDEX(валюта_кп,MATCH(валюта_расчёта,валюта,0))&amp;":"</f>
        <v>ПОДЫТОГ с НДС, долларов США:</v>
      </c>
      <c r="C29" s="325"/>
      <c r="D29" s="325"/>
      <c r="E29" s="325"/>
      <c r="F29" s="325"/>
      <c r="G29" s="325"/>
      <c r="H29" s="326"/>
      <c r="I29" s="241">
        <f>SUBTOTAL(9,I21:I28)</f>
        <v>18682.97</v>
      </c>
      <c r="J29" s="241">
        <f>SUBTOTAL(9,J21:J28)</f>
        <v>2849.94</v>
      </c>
      <c r="K29" s="241"/>
      <c r="M29" s="235"/>
      <c r="N29" s="235"/>
      <c r="O29" s="235"/>
      <c r="P29" s="237"/>
    </row>
    <row r="30" spans="2:16" x14ac:dyDescent="0.3">
      <c r="B30" s="240" t="s">
        <v>218</v>
      </c>
      <c r="C30" s="333" t="str">
        <f>'Расчёт закупки'!$D24</f>
        <v>Серверы HPE DL380 Gen10 8SFF CTO Server (Вариант 1) в составе:</v>
      </c>
      <c r="D30" s="333"/>
      <c r="E30" s="333"/>
      <c r="F30" s="333"/>
      <c r="G30" s="333"/>
      <c r="H30" s="333"/>
      <c r="I30" s="333"/>
      <c r="J30" s="333"/>
      <c r="K30" s="333"/>
      <c r="M30" s="235" t="s">
        <v>448</v>
      </c>
      <c r="N30" s="235" t="s">
        <v>72</v>
      </c>
      <c r="O30" s="235" t="s">
        <v>162</v>
      </c>
      <c r="P30" s="237">
        <v>0.15</v>
      </c>
    </row>
    <row r="31" spans="2:16" outlineLevel="1" x14ac:dyDescent="0.3">
      <c r="B31" s="233" t="s">
        <v>515</v>
      </c>
      <c r="C31" s="234" t="str">
        <f>'Расчёт закупки'!$B25</f>
        <v>HPE</v>
      </c>
      <c r="D31" s="234" t="str">
        <f>'Расчёт закупки'!$C25</f>
        <v>868703-B21</v>
      </c>
      <c r="E31" s="234" t="str">
        <f>'Расчёт закупки'!$D25</f>
        <v>HPE DL380 Gen10 8SFF CTO Server</v>
      </c>
      <c r="F31" s="235">
        <f>'Расчёт закупки'!$E25</f>
        <v>2</v>
      </c>
      <c r="G31" s="235" t="str">
        <f>'Расчёт закупки'!$F25</f>
        <v>шт</v>
      </c>
      <c r="H31" s="236">
        <f>ROUND(IF(INDEX(источник,1)=$O31,'Расчёт закупки'!$G25,'Расчёт закупки'!$J25)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31,(1+$P31),1/(1-$P31)),2)</f>
        <v>2118.21</v>
      </c>
      <c r="I31" s="236">
        <f t="shared" ref="I31:I46" si="0">$F31*$H31</f>
        <v>4236.42</v>
      </c>
      <c r="J31" s="236">
        <f t="shared" ref="J31:J46" si="1">ROUND($I31*IF(включить_НДС=INDEX(НДС,1),0.18/1.18,IF(включить_НДС=INDEX(НДС,2),0.18,0)),2)</f>
        <v>646.23</v>
      </c>
      <c r="K31" s="234">
        <f>'Расчёт закупки'!$M25</f>
        <v>0</v>
      </c>
      <c r="M31" s="235" t="s">
        <v>449</v>
      </c>
      <c r="N31" s="235" t="s">
        <v>72</v>
      </c>
      <c r="O31" s="235" t="s">
        <v>162</v>
      </c>
      <c r="P31" s="237">
        <v>0.15</v>
      </c>
    </row>
    <row r="32" spans="2:16" outlineLevel="1" x14ac:dyDescent="0.3">
      <c r="B32" s="233" t="s">
        <v>516</v>
      </c>
      <c r="C32" s="234" t="str">
        <f>'Расчёт закупки'!$B27</f>
        <v>HPE</v>
      </c>
      <c r="D32" s="234" t="str">
        <f>'Расчёт закупки'!$C27</f>
        <v>826852-L21</v>
      </c>
      <c r="E32" s="234" t="str">
        <f>'Расчёт закупки'!$D27</f>
        <v>HPE DL380 Gen10 4116 Xeon-S FIO Kit</v>
      </c>
      <c r="F32" s="235">
        <f>'Расчёт закупки'!$E27</f>
        <v>2</v>
      </c>
      <c r="G32" s="235" t="str">
        <f>'Расчёт закупки'!$F27</f>
        <v>шт</v>
      </c>
      <c r="H32" s="236">
        <f>ROUND(IF(INDEX(источник,1)=$O32,'Расчёт закупки'!$G27,'Расчёт закупки'!$J27)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32,(1+$P32),1/(1-$P32)),2)</f>
        <v>1541.68</v>
      </c>
      <c r="I32" s="236">
        <f t="shared" si="0"/>
        <v>3083.36</v>
      </c>
      <c r="J32" s="236">
        <f t="shared" si="1"/>
        <v>470.34</v>
      </c>
      <c r="K32" s="234">
        <f>'Расчёт закупки'!$M27</f>
        <v>0</v>
      </c>
      <c r="M32" s="235" t="s">
        <v>450</v>
      </c>
      <c r="N32" s="235" t="s">
        <v>72</v>
      </c>
      <c r="O32" s="235" t="s">
        <v>162</v>
      </c>
      <c r="P32" s="237">
        <v>0.15</v>
      </c>
    </row>
    <row r="33" spans="2:16" outlineLevel="1" x14ac:dyDescent="0.3">
      <c r="B33" s="233" t="s">
        <v>517</v>
      </c>
      <c r="C33" s="234" t="str">
        <f>'Расчёт закупки'!$B28</f>
        <v>HPE</v>
      </c>
      <c r="D33" s="234" t="str">
        <f>'Расчёт закупки'!$C28</f>
        <v>826852-B21</v>
      </c>
      <c r="E33" s="234" t="str">
        <f>'Расчёт закупки'!$D28</f>
        <v>HPE DL380 Gen10 4116 Xeon-S Kit</v>
      </c>
      <c r="F33" s="235">
        <f>'Расчёт закупки'!$E28</f>
        <v>2</v>
      </c>
      <c r="G33" s="235" t="str">
        <f>'Расчёт закупки'!$F28</f>
        <v>шт</v>
      </c>
      <c r="H33" s="236">
        <f>ROUND(IF(INDEX(источник,1)=$O33,'Расчёт закупки'!$G28,'Расчёт закупки'!$J28)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33,(1+$P33),1/(1-$P33)),2)</f>
        <v>1541.68</v>
      </c>
      <c r="I33" s="236">
        <f t="shared" si="0"/>
        <v>3083.36</v>
      </c>
      <c r="J33" s="236">
        <f t="shared" si="1"/>
        <v>470.34</v>
      </c>
      <c r="K33" s="234">
        <f>'Расчёт закупки'!$M28</f>
        <v>0</v>
      </c>
      <c r="M33" s="235" t="s">
        <v>451</v>
      </c>
      <c r="N33" s="235" t="s">
        <v>72</v>
      </c>
      <c r="O33" s="235" t="s">
        <v>162</v>
      </c>
      <c r="P33" s="237">
        <v>0.15</v>
      </c>
    </row>
    <row r="34" spans="2:16" outlineLevel="1" x14ac:dyDescent="0.3">
      <c r="B34" s="233" t="s">
        <v>518</v>
      </c>
      <c r="C34" s="234" t="str">
        <f>'Расчёт закупки'!$B30</f>
        <v>HPE</v>
      </c>
      <c r="D34" s="234" t="str">
        <f>'Расчёт закупки'!$C30</f>
        <v>826706-B21</v>
      </c>
      <c r="E34" s="234" t="str">
        <f>'Расчёт закупки'!$D30</f>
        <v>HPE DL380 Gen10 High Perf Heatsink Kit</v>
      </c>
      <c r="F34" s="235">
        <f>'Расчёт закупки'!$E30</f>
        <v>2</v>
      </c>
      <c r="G34" s="235" t="str">
        <f>'Расчёт закупки'!$F30</f>
        <v>шт</v>
      </c>
      <c r="H34" s="236">
        <f>ROUND(IF(INDEX(источник,1)=$O34,'Расчёт закупки'!$G30,'Расчёт закупки'!$J30)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34,(1+$P34),1/(1-$P34)),2)</f>
        <v>162.28</v>
      </c>
      <c r="I34" s="236">
        <f t="shared" si="0"/>
        <v>324.56</v>
      </c>
      <c r="J34" s="236">
        <f t="shared" si="1"/>
        <v>49.51</v>
      </c>
      <c r="K34" s="234">
        <f>'Расчёт закупки'!$M30</f>
        <v>0</v>
      </c>
      <c r="M34" s="235" t="s">
        <v>452</v>
      </c>
      <c r="N34" s="235" t="s">
        <v>72</v>
      </c>
      <c r="O34" s="235" t="s">
        <v>162</v>
      </c>
      <c r="P34" s="237">
        <v>0.15</v>
      </c>
    </row>
    <row r="35" spans="2:16" outlineLevel="1" x14ac:dyDescent="0.3">
      <c r="B35" s="233" t="s">
        <v>519</v>
      </c>
      <c r="C35" s="234" t="str">
        <f>'Расчёт закупки'!$B32</f>
        <v>HPE</v>
      </c>
      <c r="D35" s="234" t="str">
        <f>'Расчёт закупки'!$C32</f>
        <v>815100-B21</v>
      </c>
      <c r="E35" s="234" t="str">
        <f>'Расчёт закупки'!$D32</f>
        <v>HPE 32GB 2Rx4 PC4-2666V-R Smart Kit</v>
      </c>
      <c r="F35" s="235">
        <f>'Расчёт закупки'!$E32</f>
        <v>16</v>
      </c>
      <c r="G35" s="235" t="str">
        <f>'Расчёт закупки'!$F32</f>
        <v>шт</v>
      </c>
      <c r="H35" s="236">
        <f>ROUND(IF(INDEX(источник,1)=$O35,'Расчёт закупки'!$G32,'Расчёт закупки'!$J32)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35,(1+$P35),1/(1-$P35)),2)</f>
        <v>781.52</v>
      </c>
      <c r="I35" s="236">
        <f t="shared" si="0"/>
        <v>12504.32</v>
      </c>
      <c r="J35" s="236">
        <f t="shared" si="1"/>
        <v>1907.44</v>
      </c>
      <c r="K35" s="234">
        <f>'Расчёт закупки'!$M32</f>
        <v>0</v>
      </c>
      <c r="M35" s="235" t="s">
        <v>453</v>
      </c>
      <c r="N35" s="235" t="s">
        <v>72</v>
      </c>
      <c r="O35" s="235" t="s">
        <v>162</v>
      </c>
      <c r="P35" s="237">
        <v>0.15</v>
      </c>
    </row>
    <row r="36" spans="2:16" outlineLevel="1" x14ac:dyDescent="0.3">
      <c r="B36" s="233" t="s">
        <v>520</v>
      </c>
      <c r="C36" s="234" t="str">
        <f>'Расчёт закупки'!$B34</f>
        <v>HPE</v>
      </c>
      <c r="D36" s="234" t="str">
        <f>'Расчёт закупки'!$C34</f>
        <v>869374-B21</v>
      </c>
      <c r="E36" s="234" t="str">
        <f>'Расчёт закупки'!$D34</f>
        <v>HPE 150GB SATA 6G RI SFF SC DS SSD</v>
      </c>
      <c r="F36" s="235">
        <f>'Расчёт закупки'!$E34</f>
        <v>4</v>
      </c>
      <c r="G36" s="235" t="str">
        <f>'Расчёт закупки'!$F34</f>
        <v>шт</v>
      </c>
      <c r="H36" s="236">
        <f>ROUND(IF(INDEX(источник,1)=$O36,'Расчёт закупки'!$G34,'Расчёт закупки'!$J34)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36,(1+$P36),1/(1-$P36)),2)</f>
        <v>337.38</v>
      </c>
      <c r="I36" s="236">
        <f t="shared" si="0"/>
        <v>1349.52</v>
      </c>
      <c r="J36" s="236">
        <f t="shared" si="1"/>
        <v>205.86</v>
      </c>
      <c r="K36" s="234">
        <f>'Расчёт закупки'!$M34</f>
        <v>0</v>
      </c>
      <c r="M36" s="235" t="s">
        <v>454</v>
      </c>
      <c r="N36" s="235" t="s">
        <v>72</v>
      </c>
      <c r="O36" s="235" t="s">
        <v>162</v>
      </c>
      <c r="P36" s="237">
        <v>0.15</v>
      </c>
    </row>
    <row r="37" spans="2:16" outlineLevel="1" x14ac:dyDescent="0.3">
      <c r="B37" s="233" t="s">
        <v>521</v>
      </c>
      <c r="C37" s="234" t="str">
        <f>'Расчёт закупки'!$B36</f>
        <v>HPE</v>
      </c>
      <c r="D37" s="234" t="str">
        <f>'Расчёт закупки'!$C36</f>
        <v>Q0J62A</v>
      </c>
      <c r="E37" s="234" t="str">
        <f>'Расчёт закупки'!$D36</f>
        <v>NVIDIA Tesla M10 Quad GPU Module</v>
      </c>
      <c r="F37" s="235">
        <f>'Расчёт закупки'!$E36</f>
        <v>2</v>
      </c>
      <c r="G37" s="235" t="str">
        <f>'Расчёт закупки'!$F36</f>
        <v>шт</v>
      </c>
      <c r="H37" s="236">
        <f>ROUND(IF(INDEX(источник,1)=$O37,'Расчёт закупки'!$G36,'Расчёт закупки'!$J36)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37,(1+$P37),1/(1-$P37)),2)</f>
        <v>4086.95</v>
      </c>
      <c r="I37" s="236">
        <f t="shared" si="0"/>
        <v>8173.9</v>
      </c>
      <c r="J37" s="236">
        <f t="shared" si="1"/>
        <v>1246.8699999999999</v>
      </c>
      <c r="K37" s="234">
        <f>'Расчёт закупки'!$M36</f>
        <v>0</v>
      </c>
      <c r="M37" s="235" t="s">
        <v>455</v>
      </c>
      <c r="N37" s="235" t="s">
        <v>72</v>
      </c>
      <c r="O37" s="235" t="s">
        <v>162</v>
      </c>
      <c r="P37" s="237">
        <v>0.15</v>
      </c>
    </row>
    <row r="38" spans="2:16" outlineLevel="1" x14ac:dyDescent="0.3">
      <c r="B38" s="233" t="s">
        <v>522</v>
      </c>
      <c r="C38" s="234" t="str">
        <f>'Расчёт закупки'!$B38</f>
        <v>HPE</v>
      </c>
      <c r="D38" s="234" t="str">
        <f>'Расчёт закупки'!$C38</f>
        <v>700751-B21</v>
      </c>
      <c r="E38" s="234" t="str">
        <f>'Расчёт закупки'!$D38</f>
        <v>HPE FlexFabric 10Gb 2P 534FLR-SFP+ Adptr</v>
      </c>
      <c r="F38" s="235">
        <f>'Расчёт закупки'!$E38</f>
        <v>2</v>
      </c>
      <c r="G38" s="235" t="str">
        <f>'Расчёт закупки'!$F38</f>
        <v>шт</v>
      </c>
      <c r="H38" s="236">
        <f>ROUND(IF(INDEX(источник,1)=$O38,'Расчёт закупки'!$G38,'Расчёт закупки'!$J38)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38,(1+$P38),1/(1-$P38)),2)</f>
        <v>657.67</v>
      </c>
      <c r="I38" s="236">
        <f t="shared" si="0"/>
        <v>1315.34</v>
      </c>
      <c r="J38" s="236">
        <f t="shared" si="1"/>
        <v>200.65</v>
      </c>
      <c r="K38" s="234">
        <f>'Расчёт закупки'!$M38</f>
        <v>0</v>
      </c>
      <c r="M38" s="235" t="s">
        <v>456</v>
      </c>
      <c r="N38" s="235" t="s">
        <v>72</v>
      </c>
      <c r="O38" s="235" t="s">
        <v>162</v>
      </c>
      <c r="P38" s="237">
        <v>0.15</v>
      </c>
    </row>
    <row r="39" spans="2:16" outlineLevel="1" x14ac:dyDescent="0.3">
      <c r="B39" s="233" t="s">
        <v>523</v>
      </c>
      <c r="C39" s="234" t="str">
        <f>'Расчёт закупки'!$B40</f>
        <v>HPE</v>
      </c>
      <c r="D39" s="234" t="str">
        <f>'Расчёт закупки'!$C40</f>
        <v>733660-B21</v>
      </c>
      <c r="E39" s="234" t="str">
        <f>'Расчёт закупки'!$D40</f>
        <v>HPE 2U SFF Easy Install Rail Kit</v>
      </c>
      <c r="F39" s="235">
        <f>'Расчёт закупки'!$E40</f>
        <v>2</v>
      </c>
      <c r="G39" s="235" t="str">
        <f>'Расчёт закупки'!$F40</f>
        <v>шт</v>
      </c>
      <c r="H39" s="236">
        <f>ROUND(IF(INDEX(источник,1)=$O39,'Расчёт закупки'!$G40,'Расчёт закупки'!$J40)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39,(1+$P39),1/(1-$P39)),2)</f>
        <v>98.22</v>
      </c>
      <c r="I39" s="236">
        <f t="shared" si="0"/>
        <v>196.44</v>
      </c>
      <c r="J39" s="236">
        <f t="shared" si="1"/>
        <v>29.97</v>
      </c>
      <c r="K39" s="234">
        <f>'Расчёт закупки'!$M40</f>
        <v>0</v>
      </c>
      <c r="M39" s="235" t="s">
        <v>457</v>
      </c>
      <c r="N39" s="235" t="s">
        <v>72</v>
      </c>
      <c r="O39" s="235" t="s">
        <v>162</v>
      </c>
      <c r="P39" s="237">
        <v>0.15</v>
      </c>
    </row>
    <row r="40" spans="2:16" outlineLevel="1" x14ac:dyDescent="0.3">
      <c r="B40" s="233" t="s">
        <v>524</v>
      </c>
      <c r="C40" s="234" t="str">
        <f>'Расчёт закупки'!$B42</f>
        <v>HPE</v>
      </c>
      <c r="D40" s="234" t="str">
        <f>'Расчёт закупки'!$C42</f>
        <v>871828-B21</v>
      </c>
      <c r="E40" s="234" t="str">
        <f>'Расчёт закупки'!$D42</f>
        <v>HPE DL380 Gen10 8P Cable Kit</v>
      </c>
      <c r="F40" s="235">
        <f>'Расчёт закупки'!$E42</f>
        <v>2</v>
      </c>
      <c r="G40" s="235" t="str">
        <f>'Расчёт закупки'!$F42</f>
        <v>шт</v>
      </c>
      <c r="H40" s="236">
        <f>ROUND(IF(INDEX(источник,1)=$O40,'Расчёт закупки'!$G42,'Расчёт закупки'!$J42)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40,(1+$P40),1/(1-$P40)),2)</f>
        <v>76.87</v>
      </c>
      <c r="I40" s="236">
        <f t="shared" si="0"/>
        <v>153.74</v>
      </c>
      <c r="J40" s="236">
        <f t="shared" si="1"/>
        <v>23.45</v>
      </c>
      <c r="K40" s="234">
        <f>'Расчёт закупки'!$M42</f>
        <v>0</v>
      </c>
      <c r="M40" s="235" t="s">
        <v>458</v>
      </c>
      <c r="N40" s="235" t="s">
        <v>72</v>
      </c>
      <c r="O40" s="235" t="s">
        <v>162</v>
      </c>
      <c r="P40" s="237">
        <v>0.15</v>
      </c>
    </row>
    <row r="41" spans="2:16" outlineLevel="1" x14ac:dyDescent="0.3">
      <c r="B41" s="233" t="s">
        <v>265</v>
      </c>
      <c r="C41" s="234" t="str">
        <f>'Расчёт закупки'!$B44</f>
        <v>HPE</v>
      </c>
      <c r="D41" s="234" t="str">
        <f>'Расчёт закупки'!$C44</f>
        <v>865408-B21</v>
      </c>
      <c r="E41" s="234" t="str">
        <f>'Расчёт закупки'!$D44</f>
        <v>HPE 500W FS Plat Ht Plg LH Pwr Sply Kit</v>
      </c>
      <c r="F41" s="235">
        <f>'Расчёт закупки'!$E44</f>
        <v>4</v>
      </c>
      <c r="G41" s="235" t="str">
        <f>'Расчёт закупки'!$F44</f>
        <v>шт</v>
      </c>
      <c r="H41" s="236">
        <f>ROUND(IF(INDEX(источник,1)=$O41,'Расчёт закупки'!$G44,'Расчёт закупки'!$J44)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41,(1+$P41),1/(1-$P41)),2)</f>
        <v>277.58999999999997</v>
      </c>
      <c r="I41" s="236">
        <f t="shared" si="0"/>
        <v>1110.3599999999999</v>
      </c>
      <c r="J41" s="236">
        <f t="shared" si="1"/>
        <v>169.38</v>
      </c>
      <c r="K41" s="234">
        <f>'Расчёт закупки'!$M44</f>
        <v>0</v>
      </c>
      <c r="M41" s="235" t="s">
        <v>459</v>
      </c>
      <c r="N41" s="235" t="s">
        <v>72</v>
      </c>
      <c r="O41" s="235" t="s">
        <v>162</v>
      </c>
      <c r="P41" s="237">
        <v>0.15</v>
      </c>
    </row>
    <row r="42" spans="2:16" outlineLevel="1" x14ac:dyDescent="0.3">
      <c r="B42" s="233" t="s">
        <v>525</v>
      </c>
      <c r="C42" s="234" t="str">
        <f>'Расчёт закупки'!$B46</f>
        <v>HPE</v>
      </c>
      <c r="D42" s="234" t="str">
        <f>'Расчёт закупки'!$C46</f>
        <v>867810-B21</v>
      </c>
      <c r="E42" s="234" t="str">
        <f>'Расчёт закупки'!$D46</f>
        <v>HPE DL38X Gen10 High Perf Fan</v>
      </c>
      <c r="F42" s="235">
        <f>'Расчёт закупки'!$E46</f>
        <v>2</v>
      </c>
      <c r="G42" s="235" t="str">
        <f>'Расчёт закупки'!$F46</f>
        <v>шт</v>
      </c>
      <c r="H42" s="236">
        <f>ROUND(IF(INDEX(источник,1)=$O42,'Расчёт закупки'!$G46,'Расчёт закупки'!$J46)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42,(1+$P42),1/(1-$P42)),2)</f>
        <v>226.34</v>
      </c>
      <c r="I42" s="236">
        <f t="shared" si="0"/>
        <v>452.68</v>
      </c>
      <c r="J42" s="236">
        <f t="shared" si="1"/>
        <v>69.05</v>
      </c>
      <c r="K42" s="234">
        <f>'Расчёт закупки'!$M46</f>
        <v>0</v>
      </c>
      <c r="M42" s="235" t="s">
        <v>460</v>
      </c>
      <c r="N42" s="235" t="s">
        <v>72</v>
      </c>
      <c r="O42" s="235" t="s">
        <v>162</v>
      </c>
      <c r="P42" s="237">
        <v>0.15</v>
      </c>
    </row>
    <row r="43" spans="2:16" outlineLevel="1" x14ac:dyDescent="0.3">
      <c r="B43" s="233" t="s">
        <v>269</v>
      </c>
      <c r="C43" s="234" t="str">
        <f>'Расчёт закупки'!$B48</f>
        <v>HPE</v>
      </c>
      <c r="D43" s="234" t="str">
        <f>'Расчёт закупки'!$C48</f>
        <v>H7J32A3</v>
      </c>
      <c r="E43" s="234" t="str">
        <f>'Расчёт закупки'!$D48</f>
        <v>HPE 3Y Foundation Care NBD Service</v>
      </c>
      <c r="F43" s="235">
        <f>'Расчёт закупки'!$E48</f>
        <v>2</v>
      </c>
      <c r="G43" s="235" t="str">
        <f>'Расчёт закупки'!$F48</f>
        <v>шт</v>
      </c>
      <c r="H43" s="236">
        <f>ROUND(IF(INDEX(источник,1)=$O43,'Расчёт закупки'!$G48,'Расчёт закупки'!$J48)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43,(1+$P43),1/(1-$P43)),2)</f>
        <v>0</v>
      </c>
      <c r="I43" s="236">
        <f t="shared" si="0"/>
        <v>0</v>
      </c>
      <c r="J43" s="236">
        <f t="shared" si="1"/>
        <v>0</v>
      </c>
      <c r="K43" s="234">
        <f>'Расчёт закупки'!$M48</f>
        <v>0</v>
      </c>
      <c r="M43" s="235" t="s">
        <v>461</v>
      </c>
      <c r="N43" s="235" t="s">
        <v>72</v>
      </c>
      <c r="O43" s="235" t="s">
        <v>162</v>
      </c>
      <c r="P43" s="237">
        <v>0.15</v>
      </c>
    </row>
    <row r="44" spans="2:16" outlineLevel="1" x14ac:dyDescent="0.3">
      <c r="B44" s="233" t="s">
        <v>526</v>
      </c>
      <c r="C44" s="234" t="str">
        <f>'Расчёт закупки'!$B49</f>
        <v>HPE</v>
      </c>
      <c r="D44" s="234" t="str">
        <f>'Расчёт закупки'!$C49</f>
        <v>H7J32A3#WAH</v>
      </c>
      <c r="E44" s="234" t="str">
        <f>'Расчёт закупки'!$D49</f>
        <v>HPE DL380 Gen10 Support</v>
      </c>
      <c r="F44" s="235">
        <f>'Расчёт закупки'!$E49</f>
        <v>2</v>
      </c>
      <c r="G44" s="235" t="str">
        <f>'Расчёт закупки'!$F49</f>
        <v>шт</v>
      </c>
      <c r="H44" s="236">
        <f>ROUND(IF(INDEX(источник,1)=$O44,'Расчёт закупки'!$G49,'Расчёт закупки'!$J49)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44,(1+$P44),1/(1-$P44)),2)</f>
        <v>650.84</v>
      </c>
      <c r="I44" s="236">
        <f t="shared" si="0"/>
        <v>1301.68</v>
      </c>
      <c r="J44" s="236">
        <f t="shared" si="1"/>
        <v>198.56</v>
      </c>
      <c r="K44" s="234">
        <f>'Расчёт закупки'!$M49</f>
        <v>0</v>
      </c>
      <c r="M44" s="235" t="s">
        <v>462</v>
      </c>
      <c r="N44" s="235" t="s">
        <v>72</v>
      </c>
      <c r="O44" s="235" t="s">
        <v>162</v>
      </c>
      <c r="P44" s="237">
        <v>0.15</v>
      </c>
    </row>
    <row r="45" spans="2:16" outlineLevel="1" x14ac:dyDescent="0.3">
      <c r="B45" s="233" t="s">
        <v>273</v>
      </c>
      <c r="C45" s="234" t="str">
        <f>'Расчёт закупки'!$B50</f>
        <v>HPE</v>
      </c>
      <c r="D45" s="234" t="str">
        <f>'Расчёт закупки'!$C50</f>
        <v>455883-B21</v>
      </c>
      <c r="E45" s="234" t="str">
        <f>'Расчёт закупки'!$D50</f>
        <v>HPE BLc 10G SFP+ SR Transceiver</v>
      </c>
      <c r="F45" s="235">
        <f>'Расчёт закупки'!$E50</f>
        <v>4</v>
      </c>
      <c r="G45" s="235" t="str">
        <f>'Расчёт закупки'!$F50</f>
        <v>шт</v>
      </c>
      <c r="H45" s="236">
        <f>ROUND(IF(INDEX(источник,1)=$O45,'Расчёт закупки'!$G50,'Расчёт закупки'!$J50)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45,(1+$P45),1/(1-$P45)),2)</f>
        <v>913.91</v>
      </c>
      <c r="I45" s="236">
        <f t="shared" si="0"/>
        <v>3655.64</v>
      </c>
      <c r="J45" s="236">
        <f t="shared" si="1"/>
        <v>557.64</v>
      </c>
      <c r="K45" s="234">
        <f>'Расчёт закупки'!$M50</f>
        <v>0</v>
      </c>
      <c r="M45" s="235" t="s">
        <v>463</v>
      </c>
      <c r="N45" s="235" t="s">
        <v>72</v>
      </c>
      <c r="O45" s="235" t="s">
        <v>162</v>
      </c>
      <c r="P45" s="237">
        <v>0.15</v>
      </c>
    </row>
    <row r="46" spans="2:16" ht="26.4" outlineLevel="1" x14ac:dyDescent="0.3">
      <c r="B46" s="233" t="s">
        <v>527</v>
      </c>
      <c r="C46" s="234" t="str">
        <f>'Расчёт закупки'!$B51</f>
        <v>FS</v>
      </c>
      <c r="D46" s="234" t="str">
        <f>'Расчёт закупки'!$C51</f>
        <v>SFP-10GSR-85</v>
      </c>
      <c r="E46" s="234" t="str">
        <f>'Расчёт закупки'!$D51</f>
        <v>HPE BladeSystem 455883-B21 Совместимый 10GBASE-SR Модуль SFP+ 850nm 300m DOM</v>
      </c>
      <c r="F46" s="235">
        <f>'Расчёт закупки'!$E51</f>
        <v>4</v>
      </c>
      <c r="G46" s="235" t="str">
        <f>'Расчёт закупки'!$F51</f>
        <v>шт</v>
      </c>
      <c r="H46" s="236">
        <f>ROUND(IF(INDEX(источник,1)=$O46,'Расчёт закупки'!$G51,'Расчёт закупки'!$J51)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46,(1+$P46),1/(1-$P46)),2)</f>
        <v>23.53</v>
      </c>
      <c r="I46" s="236">
        <f t="shared" si="0"/>
        <v>94.12</v>
      </c>
      <c r="J46" s="236">
        <f t="shared" si="1"/>
        <v>14.36</v>
      </c>
      <c r="K46" s="234">
        <f>'Расчёт закупки'!$M51</f>
        <v>0</v>
      </c>
      <c r="M46" s="235" t="s">
        <v>464</v>
      </c>
      <c r="N46" s="235" t="s">
        <v>72</v>
      </c>
      <c r="O46" s="235" t="s">
        <v>162</v>
      </c>
      <c r="P46" s="237">
        <v>0.15</v>
      </c>
    </row>
    <row r="47" spans="2:16" x14ac:dyDescent="0.3">
      <c r="B47" s="324" t="str">
        <f>"ПОДЫТОГ"&amp;IF(включить_НДС&lt;&gt;INDEX(НДС,3)," "&amp;включить_НДС,"")&amp;", "&amp;INDEX(валюта_кп,MATCH(валюта_расчёта,валюта,0))&amp;":"</f>
        <v>ПОДЫТОГ с НДС, долларов США:</v>
      </c>
      <c r="C47" s="325"/>
      <c r="D47" s="325"/>
      <c r="E47" s="325"/>
      <c r="F47" s="325"/>
      <c r="G47" s="325"/>
      <c r="H47" s="326"/>
      <c r="I47" s="241">
        <f>SUBTOTAL(9,I30:I46)</f>
        <v>41035.440000000002</v>
      </c>
      <c r="J47" s="241">
        <f>SUBTOTAL(9,J30:J46)</f>
        <v>6259.6500000000005</v>
      </c>
      <c r="K47" s="241"/>
      <c r="M47" s="235"/>
      <c r="N47" s="235"/>
      <c r="O47" s="235"/>
      <c r="P47" s="237"/>
    </row>
    <row r="48" spans="2:16" x14ac:dyDescent="0.3">
      <c r="B48" s="240" t="s">
        <v>219</v>
      </c>
      <c r="C48" s="333" t="str">
        <f>'Расчёт закупки'!$D66</f>
        <v>Телефония AVAYA</v>
      </c>
      <c r="D48" s="333"/>
      <c r="E48" s="333"/>
      <c r="F48" s="333"/>
      <c r="G48" s="333"/>
      <c r="H48" s="333"/>
      <c r="I48" s="333"/>
      <c r="J48" s="333"/>
      <c r="K48" s="333"/>
      <c r="M48" s="235" t="s">
        <v>479</v>
      </c>
      <c r="N48" s="235" t="s">
        <v>72</v>
      </c>
      <c r="O48" s="235" t="s">
        <v>162</v>
      </c>
      <c r="P48" s="237">
        <v>0.15</v>
      </c>
    </row>
    <row r="49" spans="2:16" outlineLevel="1" x14ac:dyDescent="0.3">
      <c r="B49" s="233" t="s">
        <v>537</v>
      </c>
      <c r="C49" s="234" t="str">
        <f>'Расчёт закупки'!$B67</f>
        <v>AVAYA</v>
      </c>
      <c r="D49" s="234">
        <f>'Расчёт закупки'!$C67</f>
        <v>700476005</v>
      </c>
      <c r="E49" s="234" t="str">
        <f>'Расчёт закупки'!$D67</f>
        <v>IP OFFICE 500 VERSION 2 CONTROL UNIT</v>
      </c>
      <c r="F49" s="235">
        <f>'Расчёт закупки'!$E67</f>
        <v>1</v>
      </c>
      <c r="G49" s="235" t="str">
        <f>'Расчёт закупки'!$F67</f>
        <v>шт</v>
      </c>
      <c r="H49" s="236">
        <f>ROUND(IF(INDEX(источник,1)=$O49,'Расчёт закупки'!$G67,'Расчёт закупки'!$J67)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49,(1+$P49),1/(1-$P49)),2)</f>
        <v>428.6</v>
      </c>
      <c r="I49" s="236">
        <f t="shared" ref="I49:I63" si="2">$F49*$H49</f>
        <v>428.6</v>
      </c>
      <c r="J49" s="236">
        <f t="shared" ref="J49:J63" si="3">ROUND($I49*IF(включить_НДС=INDEX(НДС,1),0.18/1.18,IF(включить_НДС=INDEX(НДС,2),0.18,0)),2)</f>
        <v>65.38</v>
      </c>
      <c r="K49" s="234">
        <f>'Расчёт закупки'!$M67</f>
        <v>0</v>
      </c>
      <c r="M49" s="235" t="s">
        <v>480</v>
      </c>
      <c r="N49" s="235" t="s">
        <v>72</v>
      </c>
      <c r="O49" s="235" t="s">
        <v>162</v>
      </c>
      <c r="P49" s="237">
        <v>0.15</v>
      </c>
    </row>
    <row r="50" spans="2:16" outlineLevel="1" x14ac:dyDescent="0.3">
      <c r="B50" s="233" t="s">
        <v>538</v>
      </c>
      <c r="C50" s="234" t="str">
        <f>'Расчёт закупки'!$B68</f>
        <v>AVAYA</v>
      </c>
      <c r="D50" s="234">
        <f>'Расчёт закупки'!$C68</f>
        <v>700289762</v>
      </c>
      <c r="E50" s="234" t="str">
        <f>'Расчёт закупки'!$D68</f>
        <v>IP OFFICE POWER LEAD (EARTHED) EUROPEAN CEE7/7</v>
      </c>
      <c r="F50" s="235">
        <f>'Расчёт закупки'!$E68</f>
        <v>2</v>
      </c>
      <c r="G50" s="235" t="str">
        <f>'Расчёт закупки'!$F68</f>
        <v>шт</v>
      </c>
      <c r="H50" s="236">
        <f>ROUND(IF(INDEX(источник,1)=$O50,'Расчёт закупки'!$G68,'Расчёт закупки'!$J68)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50,(1+$P50),1/(1-$P50)),2)</f>
        <v>10.51</v>
      </c>
      <c r="I50" s="236">
        <f t="shared" si="2"/>
        <v>21.02</v>
      </c>
      <c r="J50" s="236">
        <f t="shared" si="3"/>
        <v>3.21</v>
      </c>
      <c r="K50" s="234">
        <f>'Расчёт закупки'!$M68</f>
        <v>0</v>
      </c>
      <c r="M50" s="235" t="s">
        <v>481</v>
      </c>
      <c r="N50" s="235" t="s">
        <v>72</v>
      </c>
      <c r="O50" s="235" t="s">
        <v>162</v>
      </c>
      <c r="P50" s="237">
        <v>0.15</v>
      </c>
    </row>
    <row r="51" spans="2:16" outlineLevel="1" x14ac:dyDescent="0.3">
      <c r="B51" s="233" t="s">
        <v>539</v>
      </c>
      <c r="C51" s="234" t="str">
        <f>'Расчёт закупки'!$B69</f>
        <v>AVAYA</v>
      </c>
      <c r="D51" s="234">
        <f>'Расчёт закупки'!$C69</f>
        <v>700429202</v>
      </c>
      <c r="E51" s="234" t="str">
        <f>'Расчёт закупки'!$D69</f>
        <v>IP OFFICE IP500 RACK MOUNTING KIT</v>
      </c>
      <c r="F51" s="235">
        <f>'Расчёт закупки'!$E69</f>
        <v>1</v>
      </c>
      <c r="G51" s="235" t="str">
        <f>'Расчёт закупки'!$F69</f>
        <v>шт</v>
      </c>
      <c r="H51" s="236">
        <f>ROUND(IF(INDEX(источник,1)=$O51,'Расчёт закупки'!$G69,'Расчёт закупки'!$J69)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51,(1+$P51),1/(1-$P51)),2)</f>
        <v>42.28</v>
      </c>
      <c r="I51" s="236">
        <f t="shared" si="2"/>
        <v>42.28</v>
      </c>
      <c r="J51" s="236">
        <f t="shared" si="3"/>
        <v>6.45</v>
      </c>
      <c r="K51" s="234">
        <f>'Расчёт закупки'!$M69</f>
        <v>0</v>
      </c>
      <c r="M51" s="235" t="s">
        <v>482</v>
      </c>
      <c r="N51" s="235" t="s">
        <v>72</v>
      </c>
      <c r="O51" s="235" t="s">
        <v>162</v>
      </c>
      <c r="P51" s="237">
        <v>0.15</v>
      </c>
    </row>
    <row r="52" spans="2:16" outlineLevel="1" x14ac:dyDescent="0.3">
      <c r="B52" s="233" t="s">
        <v>540</v>
      </c>
      <c r="C52" s="234" t="str">
        <f>'Расчёт закупки'!$B70</f>
        <v>AVAYA</v>
      </c>
      <c r="D52" s="234">
        <f>'Расчёт закупки'!$C70</f>
        <v>700479702</v>
      </c>
      <c r="E52" s="234" t="str">
        <f>'Расчёт закупки'!$D70</f>
        <v>IP OFFICE IP500 V2 SYSTEM SD CARD A-LAW</v>
      </c>
      <c r="F52" s="235">
        <f>'Расчёт закупки'!$E70</f>
        <v>1</v>
      </c>
      <c r="G52" s="235" t="str">
        <f>'Расчёт закупки'!$F70</f>
        <v>шт</v>
      </c>
      <c r="H52" s="236">
        <f>ROUND(IF(INDEX(источник,1)=$O52,'Расчёт закупки'!$G70,'Расчёт закупки'!$J70)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52,(1+$P52),1/(1-$P52)),2)</f>
        <v>34.81</v>
      </c>
      <c r="I52" s="236">
        <f t="shared" si="2"/>
        <v>34.81</v>
      </c>
      <c r="J52" s="236">
        <f t="shared" si="3"/>
        <v>5.31</v>
      </c>
      <c r="K52" s="234">
        <f>'Расчёт закупки'!$M70</f>
        <v>0</v>
      </c>
      <c r="M52" s="235" t="s">
        <v>483</v>
      </c>
      <c r="N52" s="235" t="s">
        <v>72</v>
      </c>
      <c r="O52" s="235" t="s">
        <v>162</v>
      </c>
      <c r="P52" s="237">
        <v>0.15</v>
      </c>
    </row>
    <row r="53" spans="2:16" ht="26.4" outlineLevel="1" x14ac:dyDescent="0.3">
      <c r="B53" s="233" t="s">
        <v>541</v>
      </c>
      <c r="C53" s="234" t="str">
        <f>'Расчёт закупки'!$B71</f>
        <v>AVAYA</v>
      </c>
      <c r="D53" s="234">
        <f>'Расчёт закупки'!$C71</f>
        <v>700504031</v>
      </c>
      <c r="E53" s="234" t="str">
        <f>'Расчёт закупки'!$D71</f>
        <v>IP OFFICE MEDIA CARD VOICE (VCM) CODING MODULE 32 V2</v>
      </c>
      <c r="F53" s="235">
        <f>'Расчёт закупки'!$E71</f>
        <v>1</v>
      </c>
      <c r="G53" s="235" t="str">
        <f>'Расчёт закупки'!$F71</f>
        <v>шт</v>
      </c>
      <c r="H53" s="236">
        <f>ROUND(IF(INDEX(источник,1)=$O53,'Расчёт закупки'!$G71,'Расчёт закупки'!$J71)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53,(1+$P53),1/(1-$P53)),2)</f>
        <v>115.47</v>
      </c>
      <c r="I53" s="236">
        <f t="shared" si="2"/>
        <v>115.47</v>
      </c>
      <c r="J53" s="236">
        <f t="shared" si="3"/>
        <v>17.61</v>
      </c>
      <c r="K53" s="234">
        <f>'Расчёт закупки'!$M71</f>
        <v>0</v>
      </c>
      <c r="M53" s="235" t="s">
        <v>484</v>
      </c>
      <c r="N53" s="235" t="s">
        <v>72</v>
      </c>
      <c r="O53" s="235" t="s">
        <v>162</v>
      </c>
      <c r="P53" s="237">
        <v>0.15</v>
      </c>
    </row>
    <row r="54" spans="2:16" outlineLevel="1" x14ac:dyDescent="0.3">
      <c r="B54" s="233" t="s">
        <v>542</v>
      </c>
      <c r="C54" s="234" t="str">
        <f>'Расчёт закупки'!$B72</f>
        <v>AVAYA</v>
      </c>
      <c r="D54" s="234">
        <f>'Расчёт закупки'!$C72</f>
        <v>700472889</v>
      </c>
      <c r="E54" s="234" t="str">
        <f>'Расчёт закупки'!$D72</f>
        <v>IPO IP500 EXP CARD 4PT</v>
      </c>
      <c r="F54" s="235">
        <f>'Расчёт закупки'!$E72</f>
        <v>1</v>
      </c>
      <c r="G54" s="235" t="str">
        <f>'Расчёт закупки'!$F72</f>
        <v>шт</v>
      </c>
      <c r="H54" s="236">
        <f>ROUND(IF(INDEX(источник,1)=$O54,'Расчёт закупки'!$G72,'Расчёт закупки'!$J72)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54,(1+$P54),1/(1-$P54)),2)</f>
        <v>652.62</v>
      </c>
      <c r="I54" s="236">
        <f t="shared" si="2"/>
        <v>652.62</v>
      </c>
      <c r="J54" s="236">
        <f t="shared" si="3"/>
        <v>99.55</v>
      </c>
      <c r="K54" s="234">
        <f>'Расчёт закупки'!$M72</f>
        <v>0</v>
      </c>
      <c r="M54" s="235" t="s">
        <v>485</v>
      </c>
      <c r="N54" s="235" t="s">
        <v>72</v>
      </c>
      <c r="O54" s="235" t="s">
        <v>162</v>
      </c>
      <c r="P54" s="237">
        <v>0.15</v>
      </c>
    </row>
    <row r="55" spans="2:16" outlineLevel="1" x14ac:dyDescent="0.3">
      <c r="B55" s="233" t="s">
        <v>543</v>
      </c>
      <c r="C55" s="234" t="str">
        <f>'Расчёт закупки'!$B73</f>
        <v>AVAYA</v>
      </c>
      <c r="D55" s="234">
        <f>'Расчёт закупки'!$C73</f>
        <v>700500698</v>
      </c>
      <c r="E55" s="234" t="str">
        <f>'Расчёт закупки'!$D73</f>
        <v>IPO IP500 EXP MOD DS30A DGTL ST RJ21</v>
      </c>
      <c r="F55" s="235">
        <f>'Расчёт закупки'!$E73</f>
        <v>1</v>
      </c>
      <c r="G55" s="235" t="str">
        <f>'Расчёт закупки'!$F73</f>
        <v>шт</v>
      </c>
      <c r="H55" s="236">
        <f>ROUND(IF(INDEX(источник,1)=$O55,'Расчёт закупки'!$G73,'Расчёт закупки'!$J73)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55,(1+$P55),1/(1-$P55)),2)</f>
        <v>2488.15</v>
      </c>
      <c r="I55" s="236">
        <f t="shared" si="2"/>
        <v>2488.15</v>
      </c>
      <c r="J55" s="236">
        <f t="shared" si="3"/>
        <v>379.55</v>
      </c>
      <c r="K55" s="234">
        <f>'Расчёт закупки'!$M73</f>
        <v>0</v>
      </c>
      <c r="M55" s="235" t="s">
        <v>486</v>
      </c>
      <c r="N55" s="235" t="s">
        <v>72</v>
      </c>
      <c r="O55" s="235" t="s">
        <v>162</v>
      </c>
      <c r="P55" s="237">
        <v>0.15</v>
      </c>
    </row>
    <row r="56" spans="2:16" outlineLevel="1" x14ac:dyDescent="0.3">
      <c r="B56" s="233" t="s">
        <v>544</v>
      </c>
      <c r="C56" s="234" t="str">
        <f>'Расчёт закупки'!$B74</f>
        <v>AVAYA</v>
      </c>
      <c r="D56" s="234">
        <f>'Расчёт закупки'!$C74</f>
        <v>700508194</v>
      </c>
      <c r="E56" s="234" t="str">
        <f>'Расчёт закупки'!$D74</f>
        <v>1416 TELSET FOR CM/IE/IPO UpN</v>
      </c>
      <c r="F56" s="235">
        <f>'Расчёт закупки'!$E74</f>
        <v>2</v>
      </c>
      <c r="G56" s="235" t="str">
        <f>'Расчёт закупки'!$F74</f>
        <v>шт</v>
      </c>
      <c r="H56" s="236">
        <f>ROUND(IF(INDEX(источник,1)=$O56,'Расчёт закупки'!$G74,'Расчёт закупки'!$J74)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56,(1+$P56),1/(1-$P56)),2)</f>
        <v>202.94</v>
      </c>
      <c r="I56" s="236">
        <f t="shared" si="2"/>
        <v>405.88</v>
      </c>
      <c r="J56" s="236">
        <f t="shared" si="3"/>
        <v>61.91</v>
      </c>
      <c r="K56" s="234">
        <f>'Расчёт закупки'!$M74</f>
        <v>0</v>
      </c>
      <c r="M56" s="235" t="s">
        <v>487</v>
      </c>
      <c r="N56" s="235" t="s">
        <v>72</v>
      </c>
      <c r="O56" s="235" t="s">
        <v>162</v>
      </c>
      <c r="P56" s="237">
        <v>0.15</v>
      </c>
    </row>
    <row r="57" spans="2:16" outlineLevel="1" x14ac:dyDescent="0.3">
      <c r="B57" s="233" t="s">
        <v>545</v>
      </c>
      <c r="C57" s="234" t="str">
        <f>'Расчёт закупки'!$B75</f>
        <v>AVAYA</v>
      </c>
      <c r="D57" s="234">
        <f>'Расчёт закупки'!$C75</f>
        <v>700356447</v>
      </c>
      <c r="E57" s="234" t="str">
        <f>'Расчёт закупки'!$D75</f>
        <v>1151C1 Power Supply</v>
      </c>
      <c r="F57" s="235">
        <f>'Расчёт закупки'!$E75</f>
        <v>2</v>
      </c>
      <c r="G57" s="235" t="str">
        <f>'Расчёт закупки'!$F75</f>
        <v>шт</v>
      </c>
      <c r="H57" s="236">
        <f>ROUND(IF(INDEX(источник,1)=$O57,'Расчёт закупки'!$G75,'Расчёт закупки'!$J75)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57,(1+$P57),1/(1-$P57)),2)</f>
        <v>32.04</v>
      </c>
      <c r="I57" s="236">
        <f t="shared" si="2"/>
        <v>64.08</v>
      </c>
      <c r="J57" s="236">
        <f t="shared" si="3"/>
        <v>9.77</v>
      </c>
      <c r="K57" s="234">
        <f>'Расчёт закупки'!$M75</f>
        <v>0</v>
      </c>
      <c r="M57" s="235" t="s">
        <v>488</v>
      </c>
      <c r="N57" s="235" t="s">
        <v>72</v>
      </c>
      <c r="O57" s="235" t="s">
        <v>162</v>
      </c>
      <c r="P57" s="237">
        <v>0.15</v>
      </c>
    </row>
    <row r="58" spans="2:16" outlineLevel="1" x14ac:dyDescent="0.3">
      <c r="B58" s="233" t="s">
        <v>546</v>
      </c>
      <c r="C58" s="234" t="str">
        <f>'Расчёт закупки'!$B76</f>
        <v>AVAYA</v>
      </c>
      <c r="D58" s="234">
        <f>'Расчёт закупки'!$C76</f>
        <v>700469968</v>
      </c>
      <c r="E58" s="234" t="str">
        <f>'Расчёт закупки'!$D76</f>
        <v>DBM32 BUTTON MOD FOR 1400 SERIES</v>
      </c>
      <c r="F58" s="235">
        <f>'Расчёт закупки'!$E76</f>
        <v>2</v>
      </c>
      <c r="G58" s="235" t="str">
        <f>'Расчёт закупки'!$F76</f>
        <v>шт</v>
      </c>
      <c r="H58" s="236">
        <f>ROUND(IF(INDEX(источник,1)=$O58,'Расчёт закупки'!$G76,'Расчёт закупки'!$J76)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58,(1+$P58),1/(1-$P58)),2)</f>
        <v>110.25</v>
      </c>
      <c r="I58" s="236">
        <f t="shared" si="2"/>
        <v>220.5</v>
      </c>
      <c r="J58" s="236">
        <f t="shared" si="3"/>
        <v>33.64</v>
      </c>
      <c r="K58" s="234">
        <f>'Расчёт закупки'!$M76</f>
        <v>0</v>
      </c>
      <c r="M58" s="235" t="s">
        <v>489</v>
      </c>
      <c r="N58" s="235" t="s">
        <v>72</v>
      </c>
      <c r="O58" s="235" t="s">
        <v>162</v>
      </c>
      <c r="P58" s="237">
        <v>0.15</v>
      </c>
    </row>
    <row r="59" spans="2:16" outlineLevel="1" x14ac:dyDescent="0.3">
      <c r="B59" s="233" t="s">
        <v>547</v>
      </c>
      <c r="C59" s="234" t="str">
        <f>'Расчёт закупки'!$B77</f>
        <v>AVAYA</v>
      </c>
      <c r="D59" s="234">
        <f>'Расчёт закупки'!$C77</f>
        <v>700504841</v>
      </c>
      <c r="E59" s="234" t="str">
        <f>'Расчёт закупки'!$D77</f>
        <v>1408 TELSET FOR CM/IE/IPO UpN</v>
      </c>
      <c r="F59" s="235">
        <f>'Расчёт закупки'!$E77</f>
        <v>28</v>
      </c>
      <c r="G59" s="235" t="str">
        <f>'Расчёт закупки'!$F77</f>
        <v>шт</v>
      </c>
      <c r="H59" s="236">
        <f>ROUND(IF(INDEX(источник,1)=$O59,'Расчёт закупки'!$G77,'Расчёт закупки'!$J77)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59,(1+$P59),1/(1-$P59)),2)</f>
        <v>162.21</v>
      </c>
      <c r="I59" s="236">
        <f t="shared" si="2"/>
        <v>4541.88</v>
      </c>
      <c r="J59" s="236">
        <f t="shared" si="3"/>
        <v>692.83</v>
      </c>
      <c r="K59" s="234">
        <f>'Расчёт закупки'!$M77</f>
        <v>0</v>
      </c>
      <c r="M59" s="235" t="s">
        <v>490</v>
      </c>
      <c r="N59" s="235" t="s">
        <v>72</v>
      </c>
      <c r="O59" s="235" t="s">
        <v>162</v>
      </c>
      <c r="P59" s="237">
        <v>0.15</v>
      </c>
    </row>
    <row r="60" spans="2:16" outlineLevel="1" x14ac:dyDescent="0.3">
      <c r="B60" s="233" t="s">
        <v>548</v>
      </c>
      <c r="C60" s="234" t="str">
        <f>'Расчёт закупки'!$B78</f>
        <v>AVAYA</v>
      </c>
      <c r="D60" s="234">
        <f>'Расчёт закупки'!$C78</f>
        <v>271629</v>
      </c>
      <c r="E60" s="234" t="str">
        <f>'Расчёт закупки'!$D78</f>
        <v>IPO REM TECH SUPT 8X5 - IP500 V2 1YPP</v>
      </c>
      <c r="F60" s="235">
        <f>'Расчёт закупки'!$E78</f>
        <v>1</v>
      </c>
      <c r="G60" s="235" t="str">
        <f>'Расчёт закупки'!$F78</f>
        <v>шт</v>
      </c>
      <c r="H60" s="236">
        <f>ROUND(IF(INDEX(источник,1)=$O60,'Расчёт закупки'!$G78,'Расчёт закупки'!$J78)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60,(1+$P60),1/(1-$P60)),2)</f>
        <v>180.28</v>
      </c>
      <c r="I60" s="236">
        <f t="shared" si="2"/>
        <v>180.28</v>
      </c>
      <c r="J60" s="236">
        <f t="shared" si="3"/>
        <v>27.5</v>
      </c>
      <c r="K60" s="234">
        <f>'Расчёт закупки'!$M78</f>
        <v>0</v>
      </c>
      <c r="M60" s="235" t="s">
        <v>491</v>
      </c>
      <c r="N60" s="235" t="s">
        <v>72</v>
      </c>
      <c r="O60" s="235" t="s">
        <v>162</v>
      </c>
      <c r="P60" s="237">
        <v>0.15</v>
      </c>
    </row>
    <row r="61" spans="2:16" outlineLevel="1" x14ac:dyDescent="0.3">
      <c r="B61" s="233" t="s">
        <v>549</v>
      </c>
      <c r="C61" s="234" t="str">
        <f>'Расчёт закупки'!$B79</f>
        <v>AVAYA</v>
      </c>
      <c r="D61" s="234">
        <f>'Расчёт закупки'!$C79</f>
        <v>383125</v>
      </c>
      <c r="E61" s="234" t="str">
        <f>'Расчёт закупки'!$D79</f>
        <v>IP OFFICE R10 ESSENTIAL EDITION PLDS LIC:DS</v>
      </c>
      <c r="F61" s="235">
        <f>'Расчёт закупки'!$E79</f>
        <v>1</v>
      </c>
      <c r="G61" s="235" t="str">
        <f>'Расчёт закупки'!$F79</f>
        <v>шт</v>
      </c>
      <c r="H61" s="236">
        <f>ROUND(IF(INDEX(источник,1)=$O61,'Расчёт закупки'!$G79,'Расчёт закупки'!$J79)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61,(1+$P61),1/(1-$P61)),2)</f>
        <v>323.52</v>
      </c>
      <c r="I61" s="236">
        <f t="shared" si="2"/>
        <v>323.52</v>
      </c>
      <c r="J61" s="236">
        <f t="shared" si="3"/>
        <v>49.35</v>
      </c>
      <c r="K61" s="234">
        <f>'Расчёт закупки'!$M79</f>
        <v>0</v>
      </c>
      <c r="M61" s="235" t="s">
        <v>492</v>
      </c>
      <c r="N61" s="235" t="s">
        <v>72</v>
      </c>
      <c r="O61" s="235" t="s">
        <v>162</v>
      </c>
      <c r="P61" s="237">
        <v>0.15</v>
      </c>
    </row>
    <row r="62" spans="2:16" outlineLevel="1" x14ac:dyDescent="0.3">
      <c r="B62" s="233" t="s">
        <v>550</v>
      </c>
      <c r="C62" s="234" t="str">
        <f>'Расчёт закупки'!$B80</f>
        <v>AVAYA</v>
      </c>
      <c r="D62" s="234">
        <f>'Расчёт закупки'!$C80</f>
        <v>383085</v>
      </c>
      <c r="E62" s="234" t="str">
        <f>'Расчёт закупки'!$D80</f>
        <v>IP Office R10 SIP Trunk 1 PLDS License</v>
      </c>
      <c r="F62" s="235">
        <f>'Расчёт закупки'!$E80</f>
        <v>1</v>
      </c>
      <c r="G62" s="235" t="str">
        <f>'Расчёт закупки'!$F80</f>
        <v>шт</v>
      </c>
      <c r="H62" s="236">
        <f>ROUND(IF(INDEX(источник,1)=$O62,'Расчёт закупки'!$G80,'Расчёт закупки'!$J80)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62,(1+$P62),1/(1-$P62)),2)</f>
        <v>47.18</v>
      </c>
      <c r="I62" s="236">
        <f t="shared" si="2"/>
        <v>47.18</v>
      </c>
      <c r="J62" s="236">
        <f t="shared" si="3"/>
        <v>7.2</v>
      </c>
      <c r="K62" s="234">
        <f>'Расчёт закупки'!$M80</f>
        <v>0</v>
      </c>
      <c r="M62" s="235" t="s">
        <v>493</v>
      </c>
      <c r="N62" s="235" t="s">
        <v>72</v>
      </c>
      <c r="O62" s="235" t="s">
        <v>162</v>
      </c>
      <c r="P62" s="237">
        <v>0.15</v>
      </c>
    </row>
    <row r="63" spans="2:16" outlineLevel="1" x14ac:dyDescent="0.3">
      <c r="B63" s="233" t="s">
        <v>551</v>
      </c>
      <c r="C63" s="234" t="str">
        <f>'Расчёт закупки'!$B81</f>
        <v>AVAYA</v>
      </c>
      <c r="D63" s="234">
        <f>'Расчёт закупки'!$C81</f>
        <v>383110</v>
      </c>
      <c r="E63" s="234" t="str">
        <f>'Расчёт закупки'!$D81</f>
        <v>IP OFFICE R10 AVAYA IP ENDPOINT 1 PLDS LIC:CU</v>
      </c>
      <c r="F63" s="235">
        <f>'Расчёт закупки'!$E81</f>
        <v>30</v>
      </c>
      <c r="G63" s="235" t="str">
        <f>'Расчёт закупки'!$F81</f>
        <v>шт</v>
      </c>
      <c r="H63" s="236">
        <f>ROUND(IF(INDEX(источник,1)=$O63,'Расчёт закупки'!$G81,'Расчёт закупки'!$J81)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63,(1+$P63),1/(1-$P63)),2)</f>
        <v>45.95</v>
      </c>
      <c r="I63" s="236">
        <f t="shared" si="2"/>
        <v>1378.5</v>
      </c>
      <c r="J63" s="236">
        <f t="shared" si="3"/>
        <v>210.28</v>
      </c>
      <c r="K63" s="234">
        <f>'Расчёт закупки'!$M81</f>
        <v>0</v>
      </c>
      <c r="M63" s="235" t="s">
        <v>494</v>
      </c>
      <c r="N63" s="235" t="s">
        <v>72</v>
      </c>
      <c r="O63" s="235" t="s">
        <v>162</v>
      </c>
      <c r="P63" s="237">
        <v>0.15</v>
      </c>
    </row>
    <row r="64" spans="2:16" x14ac:dyDescent="0.3">
      <c r="B64" s="324" t="str">
        <f>"ПОДЫТОГ"&amp;IF(включить_НДС&lt;&gt;INDEX(НДС,3)," "&amp;включить_НДС,"")&amp;", "&amp;INDEX(валюта_кп,MATCH(валюта_расчёта,валюта,0))&amp;":"</f>
        <v>ПОДЫТОГ с НДС, долларов США:</v>
      </c>
      <c r="C64" s="325"/>
      <c r="D64" s="325"/>
      <c r="E64" s="325"/>
      <c r="F64" s="325"/>
      <c r="G64" s="325"/>
      <c r="H64" s="326"/>
      <c r="I64" s="241">
        <f>SUBTOTAL(9,I48:I63)</f>
        <v>10944.770000000002</v>
      </c>
      <c r="J64" s="241">
        <f>SUBTOTAL(9,J48:J63)</f>
        <v>1669.54</v>
      </c>
      <c r="K64" s="241"/>
      <c r="M64" s="235"/>
      <c r="N64" s="235"/>
      <c r="O64" s="235"/>
      <c r="P64" s="237"/>
    </row>
    <row r="65" spans="2:16" x14ac:dyDescent="0.3">
      <c r="B65" s="240" t="s">
        <v>220</v>
      </c>
      <c r="C65" s="333" t="str">
        <f>'Расчёт закупки'!$D82</f>
        <v>ПО Microsoft</v>
      </c>
      <c r="D65" s="333"/>
      <c r="E65" s="333"/>
      <c r="F65" s="333"/>
      <c r="G65" s="333"/>
      <c r="H65" s="333"/>
      <c r="I65" s="333"/>
      <c r="J65" s="333"/>
      <c r="K65" s="333"/>
      <c r="M65" s="235" t="s">
        <v>495</v>
      </c>
      <c r="N65" s="235" t="s">
        <v>72</v>
      </c>
      <c r="O65" s="235" t="s">
        <v>162</v>
      </c>
      <c r="P65" s="237">
        <v>0.15</v>
      </c>
    </row>
    <row r="66" spans="2:16" outlineLevel="1" x14ac:dyDescent="0.3">
      <c r="B66" s="233" t="s">
        <v>552</v>
      </c>
      <c r="C66" s="234" t="str">
        <f>'Расчёт закупки'!$B83</f>
        <v>Microsoft</v>
      </c>
      <c r="D66" s="234" t="str">
        <f>'Расчёт закупки'!$C83</f>
        <v>9EA-00128</v>
      </c>
      <c r="E66" s="234" t="str">
        <f>'Расчёт закупки'!$D83</f>
        <v>WinSvrDCCore 2016 SNGL OLP 2Lic NL CoreLic Qlfd</v>
      </c>
      <c r="F66" s="235">
        <f>'Расчёт закупки'!$E83</f>
        <v>24</v>
      </c>
      <c r="G66" s="235" t="str">
        <f>'Расчёт закупки'!$F83</f>
        <v>шт</v>
      </c>
      <c r="H66" s="236">
        <f>ROUND(IF(INDEX(источник,1)=$O66,'Расчёт закупки'!$G83,'Расчёт закупки'!$J83)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66,(1+$P66),1/(1-$P66)),2)</f>
        <v>772.55</v>
      </c>
      <c r="I66" s="236">
        <f t="shared" ref="I66:I74" si="4">$F66*$H66</f>
        <v>18541.199999999997</v>
      </c>
      <c r="J66" s="236">
        <f t="shared" ref="J66:J74" si="5">ROUND($I66*IF(включить_НДС=INDEX(НДС,1),0.18/1.18,IF(включить_НДС=INDEX(НДС,2),0.18,0)),2)</f>
        <v>2828.32</v>
      </c>
      <c r="K66" s="234">
        <f>'Расчёт закупки'!$M83</f>
        <v>0</v>
      </c>
      <c r="M66" s="235" t="s">
        <v>496</v>
      </c>
      <c r="N66" s="235" t="s">
        <v>72</v>
      </c>
      <c r="O66" s="235" t="s">
        <v>162</v>
      </c>
      <c r="P66" s="237">
        <v>0.15</v>
      </c>
    </row>
    <row r="67" spans="2:16" outlineLevel="1" x14ac:dyDescent="0.3">
      <c r="B67" s="233" t="s">
        <v>553</v>
      </c>
      <c r="C67" s="234" t="str">
        <f>'Расчёт закупки'!$B84</f>
        <v>Microsoft</v>
      </c>
      <c r="D67" s="234" t="str">
        <f>'Расчёт закупки'!$C84</f>
        <v>R18-05121</v>
      </c>
      <c r="E67" s="234" t="str">
        <f>'Расчёт закупки'!$D84</f>
        <v>WinSvrCAL 2016 SNGL OLP NL DvcCAL</v>
      </c>
      <c r="F67" s="235">
        <f>'Расчёт закупки'!$E84</f>
        <v>30</v>
      </c>
      <c r="G67" s="235" t="str">
        <f>'Расчёт закупки'!$F84</f>
        <v>шт</v>
      </c>
      <c r="H67" s="236">
        <f>ROUND(IF(INDEX(источник,1)=$O67,'Расчёт закупки'!$G84,'Расчёт закупки'!$J84)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67,(1+$P67),1/(1-$P67)),2)</f>
        <v>29.41</v>
      </c>
      <c r="I67" s="236">
        <f t="shared" si="4"/>
        <v>882.3</v>
      </c>
      <c r="J67" s="236">
        <f t="shared" si="5"/>
        <v>134.59</v>
      </c>
      <c r="K67" s="234">
        <f>'Расчёт закупки'!$M84</f>
        <v>0</v>
      </c>
      <c r="M67" s="235" t="s">
        <v>497</v>
      </c>
      <c r="N67" s="235" t="s">
        <v>72</v>
      </c>
      <c r="O67" s="235" t="s">
        <v>162</v>
      </c>
      <c r="P67" s="237">
        <v>0.15</v>
      </c>
    </row>
    <row r="68" spans="2:16" outlineLevel="1" x14ac:dyDescent="0.3">
      <c r="B68" s="233" t="s">
        <v>554</v>
      </c>
      <c r="C68" s="234" t="str">
        <f>'Расчёт закупки'!$B85</f>
        <v>Microsoft</v>
      </c>
      <c r="D68" s="234" t="str">
        <f>'Расчёт закупки'!$C85</f>
        <v>228-10817</v>
      </c>
      <c r="E68" s="234" t="str">
        <f>'Расчёт закупки'!$D85</f>
        <v>SQLSvrStd 2016 SNGL OLP NL</v>
      </c>
      <c r="F68" s="235">
        <f>'Расчёт закупки'!$E85</f>
        <v>1</v>
      </c>
      <c r="G68" s="235" t="str">
        <f>'Расчёт закупки'!$F85</f>
        <v>шт</v>
      </c>
      <c r="H68" s="236">
        <f>ROUND(IF(INDEX(источник,1)=$O68,'Расчёт закупки'!$G85,'Расчёт закупки'!$J85)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68,(1+$P68),1/(1-$P68)),2)</f>
        <v>901.96</v>
      </c>
      <c r="I68" s="236">
        <f t="shared" si="4"/>
        <v>901.96</v>
      </c>
      <c r="J68" s="236">
        <f t="shared" si="5"/>
        <v>137.59</v>
      </c>
      <c r="K68" s="234">
        <f>'Расчёт закупки'!$M85</f>
        <v>0</v>
      </c>
      <c r="M68" s="235" t="s">
        <v>498</v>
      </c>
      <c r="N68" s="235" t="s">
        <v>72</v>
      </c>
      <c r="O68" s="235" t="s">
        <v>162</v>
      </c>
      <c r="P68" s="237">
        <v>0.15</v>
      </c>
    </row>
    <row r="69" spans="2:16" outlineLevel="1" x14ac:dyDescent="0.3">
      <c r="B69" s="233" t="s">
        <v>555</v>
      </c>
      <c r="C69" s="234" t="str">
        <f>'Расчёт закупки'!$B86</f>
        <v>Microsoft</v>
      </c>
      <c r="D69" s="234" t="str">
        <f>'Расчёт закупки'!$C86</f>
        <v>359-06320</v>
      </c>
      <c r="E69" s="234" t="str">
        <f>'Расчёт закупки'!$D86</f>
        <v>SQLCAL 2016 SNGL OLP NL DvcCAL</v>
      </c>
      <c r="F69" s="235">
        <f>'Расчёт закупки'!$E86</f>
        <v>5</v>
      </c>
      <c r="G69" s="235" t="str">
        <f>'Расчёт закупки'!$F86</f>
        <v>шт</v>
      </c>
      <c r="H69" s="236">
        <f>ROUND(IF(INDEX(источник,1)=$O69,'Расчёт закупки'!$G86,'Расчёт закупки'!$J86)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69,(1+$P69),1/(1-$P69)),2)</f>
        <v>209.8</v>
      </c>
      <c r="I69" s="236">
        <f t="shared" si="4"/>
        <v>1049</v>
      </c>
      <c r="J69" s="236">
        <f t="shared" si="5"/>
        <v>160.02000000000001</v>
      </c>
      <c r="K69" s="234">
        <f>'Расчёт закупки'!$M86</f>
        <v>0</v>
      </c>
      <c r="M69" s="235" t="s">
        <v>499</v>
      </c>
      <c r="N69" s="235" t="s">
        <v>72</v>
      </c>
      <c r="O69" s="235" t="s">
        <v>162</v>
      </c>
      <c r="P69" s="237">
        <v>0.15</v>
      </c>
    </row>
    <row r="70" spans="2:16" ht="39.6" outlineLevel="1" x14ac:dyDescent="0.3">
      <c r="B70" s="233" t="s">
        <v>557</v>
      </c>
      <c r="C70" s="234" t="str">
        <f>'Расчёт закупки'!$B89</f>
        <v>Microsoft</v>
      </c>
      <c r="D70" s="234" t="str">
        <f>'Расчёт закупки'!$C89</f>
        <v>9EP-00098</v>
      </c>
      <c r="E70" s="234" t="str">
        <f>'Расчёт закупки'!$D89</f>
        <v>Microsoft®SysCtrDataCenterCore Sngl License/SoftwareAssurancePack OLP 16Licenses NoLevel CoreLic Qualified</v>
      </c>
      <c r="F70" s="235">
        <f>'Расчёт закупки'!$E89</f>
        <v>3</v>
      </c>
      <c r="G70" s="235" t="str">
        <f>'Расчёт закупки'!$F89</f>
        <v>шт</v>
      </c>
      <c r="H70" s="236">
        <f>ROUND(IF(INDEX(источник,1)=$O70,'Расчёт закупки'!$G89,'Расчёт закупки'!$J89)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70,(1+$P70),1/(1-$P70)),2)</f>
        <v>3621.57</v>
      </c>
      <c r="I70" s="236">
        <f t="shared" si="4"/>
        <v>10864.710000000001</v>
      </c>
      <c r="J70" s="236">
        <f t="shared" si="5"/>
        <v>1657.33</v>
      </c>
      <c r="K70" s="234">
        <f>'Расчёт закупки'!$M89</f>
        <v>0</v>
      </c>
      <c r="M70" s="235" t="s">
        <v>501</v>
      </c>
      <c r="N70" s="235" t="s">
        <v>72</v>
      </c>
      <c r="O70" s="235" t="s">
        <v>162</v>
      </c>
      <c r="P70" s="237">
        <v>0.15</v>
      </c>
    </row>
    <row r="71" spans="2:16" ht="39.6" outlineLevel="1" x14ac:dyDescent="0.3">
      <c r="B71" s="233" t="s">
        <v>558</v>
      </c>
      <c r="C71" s="234" t="str">
        <f>'Расчёт закупки'!$B90</f>
        <v>Microsoft</v>
      </c>
      <c r="D71" s="234" t="str">
        <f>'Расчёт закупки'!$C90</f>
        <v>TSC-00560</v>
      </c>
      <c r="E71" s="234" t="str">
        <f>'Расчёт закупки'!$D90</f>
        <v>Microsoft®SysCtrDataPrtcnMgrCltMgmtLic Sngl License/SoftwareAssurancePack OLP 1License NoLevel PerOSE</v>
      </c>
      <c r="F71" s="235">
        <f>'Расчёт закупки'!$E90</f>
        <v>10</v>
      </c>
      <c r="G71" s="235" t="str">
        <f>'Расчёт закупки'!$F90</f>
        <v>шт</v>
      </c>
      <c r="H71" s="236">
        <f>ROUND(IF(INDEX(источник,1)=$O71,'Расчёт закупки'!$G90,'Расчёт закупки'!$J90)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71,(1+$P71),1/(1-$P71)),2)</f>
        <v>28.24</v>
      </c>
      <c r="I71" s="236">
        <f t="shared" si="4"/>
        <v>282.39999999999998</v>
      </c>
      <c r="J71" s="236">
        <f t="shared" si="5"/>
        <v>43.08</v>
      </c>
      <c r="K71" s="234">
        <f>'Расчёт закупки'!$M90</f>
        <v>0</v>
      </c>
      <c r="M71" s="235" t="s">
        <v>502</v>
      </c>
      <c r="N71" s="235" t="s">
        <v>72</v>
      </c>
      <c r="O71" s="235" t="s">
        <v>162</v>
      </c>
      <c r="P71" s="237">
        <v>0.15</v>
      </c>
    </row>
    <row r="72" spans="2:16" outlineLevel="1" x14ac:dyDescent="0.3">
      <c r="B72" s="233" t="s">
        <v>556</v>
      </c>
      <c r="C72" s="234" t="str">
        <f>'Расчёт закупки'!$B87</f>
        <v>Microsoft</v>
      </c>
      <c r="D72" s="234" t="str">
        <f>'Расчёт закупки'!$C87</f>
        <v>4ZF-00002</v>
      </c>
      <c r="E72" s="234" t="str">
        <f>'Расчёт закупки'!$D87</f>
        <v>VDAE3PerDvc ALNG SubsVL OLV NL 1Mth AP PerDvc</v>
      </c>
      <c r="F72" s="235">
        <f>'Расчёт закупки'!$E87</f>
        <v>30</v>
      </c>
      <c r="G72" s="235" t="str">
        <f>'Расчёт закупки'!$F87</f>
        <v>шт</v>
      </c>
      <c r="H72" s="236">
        <f>ROUND(IF(INDEX(источник,1)=$O72,'Расчёт закупки'!$G87,'Расчёт закупки'!$J87)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72,(1+$P72),1/(1-$P72)),2)</f>
        <v>131.37</v>
      </c>
      <c r="I72" s="236">
        <f t="shared" si="4"/>
        <v>3941.1000000000004</v>
      </c>
      <c r="J72" s="236">
        <f t="shared" si="5"/>
        <v>601.17999999999995</v>
      </c>
      <c r="K72" s="234">
        <f>'Расчёт закупки'!$M87</f>
        <v>0</v>
      </c>
      <c r="M72" s="235" t="s">
        <v>500</v>
      </c>
      <c r="N72" s="235" t="s">
        <v>72</v>
      </c>
      <c r="O72" s="235" t="s">
        <v>162</v>
      </c>
      <c r="P72" s="237">
        <v>0.15</v>
      </c>
    </row>
    <row r="73" spans="2:16" outlineLevel="1" x14ac:dyDescent="0.3">
      <c r="B73" s="233" t="s">
        <v>560</v>
      </c>
      <c r="C73" s="234">
        <f>'Расчёт закупки'!$B94</f>
        <v>0</v>
      </c>
      <c r="D73" s="234" t="str">
        <f>'Расчёт закупки'!$C94</f>
        <v>F2R-00004</v>
      </c>
      <c r="E73" s="234" t="str">
        <f>'Расчёт закупки'!$D94</f>
        <v>VDIStew/oMDOP ALNG SubsVL OLV NL 1Mth AP PerDvc</v>
      </c>
      <c r="F73" s="235">
        <f>'Расчёт закупки'!$E94</f>
        <v>1</v>
      </c>
      <c r="G73" s="235" t="str">
        <f>'Расчёт закупки'!$F94</f>
        <v>шт</v>
      </c>
      <c r="H73" s="236">
        <f>ROUND(IF(INDEX(источник,1)=$O73,'Расчёт закупки'!$G94,'Расчёт закупки'!$J94)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73,(1+$P73),1/(1-$P73)),2)</f>
        <v>13.33</v>
      </c>
      <c r="I73" s="236">
        <f t="shared" si="4"/>
        <v>13.33</v>
      </c>
      <c r="J73" s="236">
        <f t="shared" si="5"/>
        <v>2.0299999999999998</v>
      </c>
      <c r="K73" s="234">
        <f>'Расчёт закупки'!$M94</f>
        <v>0</v>
      </c>
      <c r="M73" s="235" t="s">
        <v>504</v>
      </c>
      <c r="N73" s="235" t="s">
        <v>72</v>
      </c>
      <c r="O73" s="235" t="s">
        <v>162</v>
      </c>
      <c r="P73" s="237">
        <v>0.15</v>
      </c>
    </row>
    <row r="74" spans="2:16" outlineLevel="1" x14ac:dyDescent="0.3">
      <c r="B74" s="233" t="s">
        <v>559</v>
      </c>
      <c r="C74" s="234">
        <f>'Расчёт закупки'!$B93</f>
        <v>0</v>
      </c>
      <c r="D74" s="234" t="str">
        <f>'Расчёт закупки'!$C93</f>
        <v>E9R-00004</v>
      </c>
      <c r="E74" s="234" t="str">
        <f>'Расчёт закупки'!$D93</f>
        <v>VDIStew/MDOP ALNG SubsVL OLV NL 1Mth AP PerDvc</v>
      </c>
      <c r="F74" s="235">
        <f>'Расчёт закупки'!$E93</f>
        <v>1</v>
      </c>
      <c r="G74" s="235" t="str">
        <f>'Расчёт закупки'!$F93</f>
        <v>шт</v>
      </c>
      <c r="H74" s="236">
        <f>ROUND(IF(INDEX(источник,1)=$O74,'Расчёт закупки'!$G93,'Расчёт закупки'!$J93)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74,(1+$P74),1/(1-$P74)),2)</f>
        <v>22.94</v>
      </c>
      <c r="I74" s="236">
        <f t="shared" si="4"/>
        <v>22.94</v>
      </c>
      <c r="J74" s="236">
        <f t="shared" si="5"/>
        <v>3.5</v>
      </c>
      <c r="K74" s="234">
        <f>'Расчёт закупки'!$M93</f>
        <v>0</v>
      </c>
      <c r="M74" s="235" t="s">
        <v>503</v>
      </c>
      <c r="N74" s="235" t="s">
        <v>72</v>
      </c>
      <c r="O74" s="235" t="s">
        <v>162</v>
      </c>
      <c r="P74" s="237">
        <v>0.15</v>
      </c>
    </row>
    <row r="75" spans="2:16" x14ac:dyDescent="0.3">
      <c r="B75" s="324" t="str">
        <f>"ПОДЫТОГ"&amp;IF(включить_НДС&lt;&gt;INDEX(НДС,3)," "&amp;включить_НДС,"")&amp;", "&amp;INDEX(валюта_кп,MATCH(валюта_расчёта,валюта,0))&amp;":"</f>
        <v>ПОДЫТОГ с НДС, долларов США:</v>
      </c>
      <c r="C75" s="325"/>
      <c r="D75" s="325"/>
      <c r="E75" s="325"/>
      <c r="F75" s="325"/>
      <c r="G75" s="325"/>
      <c r="H75" s="326"/>
      <c r="I75" s="241">
        <f>SUBTOTAL(9,I65:I74)</f>
        <v>36498.94</v>
      </c>
      <c r="J75" s="241">
        <f>SUBTOTAL(9,J65:J74)</f>
        <v>5567.64</v>
      </c>
      <c r="K75" s="241"/>
      <c r="M75" s="235"/>
      <c r="N75" s="235"/>
      <c r="O75" s="235"/>
      <c r="P75" s="237"/>
    </row>
    <row r="76" spans="2:16" x14ac:dyDescent="0.3">
      <c r="B76" s="240" t="s">
        <v>221</v>
      </c>
      <c r="C76" s="333" t="str">
        <f>'Расчёт закупки'!$D95</f>
        <v>МСЭ Palo Alto</v>
      </c>
      <c r="D76" s="333"/>
      <c r="E76" s="333"/>
      <c r="F76" s="333"/>
      <c r="G76" s="333"/>
      <c r="H76" s="333"/>
      <c r="I76" s="333"/>
      <c r="J76" s="333"/>
      <c r="K76" s="333"/>
      <c r="M76" s="235" t="s">
        <v>505</v>
      </c>
      <c r="N76" s="235" t="s">
        <v>72</v>
      </c>
      <c r="O76" s="235" t="s">
        <v>162</v>
      </c>
      <c r="P76" s="237">
        <v>0.15</v>
      </c>
    </row>
    <row r="77" spans="2:16" outlineLevel="1" x14ac:dyDescent="0.3">
      <c r="B77" s="233" t="s">
        <v>563</v>
      </c>
      <c r="C77" s="234" t="str">
        <f>'Расчёт закупки'!$B104</f>
        <v>Palo Alto</v>
      </c>
      <c r="D77" s="234" t="str">
        <f>'Расчёт закупки'!$C104</f>
        <v xml:space="preserve">PAN-PA-820 </v>
      </c>
      <c r="E77" s="234" t="str">
        <f>'Расчёт закупки'!$D104</f>
        <v>Palo Alto Networks PA-820</v>
      </c>
      <c r="F77" s="235">
        <f>'Расчёт закупки'!$E104</f>
        <v>2</v>
      </c>
      <c r="G77" s="235" t="str">
        <f>'Расчёт закупки'!$F104</f>
        <v>шт</v>
      </c>
      <c r="H77" s="236">
        <f>ROUND(IF(INDEX(источник,1)=$O77,'Расчёт закупки'!$G104,'Расчёт закупки'!$J104)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77,(1+$P77),1/(1-$P77)),2)</f>
        <v>3970.35</v>
      </c>
      <c r="I77" s="236">
        <f t="shared" ref="I77:I83" si="6">$F77*$H77</f>
        <v>7940.7</v>
      </c>
      <c r="J77" s="236">
        <f t="shared" ref="J77:J83" si="7">ROUND($I77*IF(включить_НДС=INDEX(НДС,1),0.18/1.18,IF(включить_НДС=INDEX(НДС,2),0.18,0)),2)</f>
        <v>1211.29</v>
      </c>
      <c r="K77" s="234">
        <f>'Расчёт закупки'!$M104</f>
        <v>0</v>
      </c>
      <c r="M77" s="235" t="s">
        <v>508</v>
      </c>
      <c r="N77" s="235" t="s">
        <v>72</v>
      </c>
      <c r="O77" s="235" t="s">
        <v>162</v>
      </c>
      <c r="P77" s="237">
        <v>0.15</v>
      </c>
    </row>
    <row r="78" spans="2:16" ht="26.4" outlineLevel="1" x14ac:dyDescent="0.3">
      <c r="B78" s="233" t="s">
        <v>564</v>
      </c>
      <c r="C78" s="234" t="str">
        <f>'Расчёт закупки'!$B105</f>
        <v>Palo Alto</v>
      </c>
      <c r="D78" s="234" t="str">
        <f>'Расчёт закупки'!$C105</f>
        <v>PAN-PA-820-TP-HA2</v>
      </c>
      <c r="E78" s="234" t="str">
        <f>'Расчёт закупки'!$D105</f>
        <v>Threat prevention subscription for devices in HA pair, PA-820</v>
      </c>
      <c r="F78" s="235">
        <f>'Расчёт закупки'!$E105</f>
        <v>2</v>
      </c>
      <c r="G78" s="235" t="str">
        <f>'Расчёт закупки'!$F105</f>
        <v>шт</v>
      </c>
      <c r="H78" s="236">
        <f>ROUND(IF(INDEX(источник,1)=$O78,'Расчёт закупки'!$G105,'Расчёт закупки'!$J105)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78,(1+$P78),1/(1-$P78)),2)</f>
        <v>705.88</v>
      </c>
      <c r="I78" s="236">
        <f t="shared" si="6"/>
        <v>1411.76</v>
      </c>
      <c r="J78" s="236">
        <f t="shared" si="7"/>
        <v>215.35</v>
      </c>
      <c r="K78" s="234">
        <f>'Расчёт закупки'!$M105</f>
        <v>0</v>
      </c>
      <c r="M78" s="235" t="s">
        <v>509</v>
      </c>
      <c r="N78" s="235" t="s">
        <v>72</v>
      </c>
      <c r="O78" s="235" t="s">
        <v>162</v>
      </c>
      <c r="P78" s="237">
        <v>0.15</v>
      </c>
    </row>
    <row r="79" spans="2:16" ht="26.4" outlineLevel="1" x14ac:dyDescent="0.3">
      <c r="B79" s="233" t="s">
        <v>565</v>
      </c>
      <c r="C79" s="234" t="str">
        <f>'Расчёт закупки'!$B106</f>
        <v>Palo Alto</v>
      </c>
      <c r="D79" s="234" t="str">
        <f>'Расчёт закупки'!$C106</f>
        <v>PAN-PA-820-WF-HA2</v>
      </c>
      <c r="E79" s="234" t="str">
        <f>'Расчёт закупки'!$D106</f>
        <v>WildFire subscription for devices in HA pair, PA-820</v>
      </c>
      <c r="F79" s="235">
        <f>'Расчёт закупки'!$E106</f>
        <v>2</v>
      </c>
      <c r="G79" s="235" t="str">
        <f>'Расчёт закупки'!$F106</f>
        <v>шт</v>
      </c>
      <c r="H79" s="236">
        <f>ROUND(IF(INDEX(источник,1)=$O79,'Расчёт закупки'!$G106,'Расчёт закупки'!$J106)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79,(1+$P79),1/(1-$P79)),2)</f>
        <v>705.88</v>
      </c>
      <c r="I79" s="236">
        <f t="shared" si="6"/>
        <v>1411.76</v>
      </c>
      <c r="J79" s="236">
        <f t="shared" si="7"/>
        <v>215.35</v>
      </c>
      <c r="K79" s="234">
        <f>'Расчёт закупки'!$M106</f>
        <v>0</v>
      </c>
      <c r="M79" s="235" t="s">
        <v>510</v>
      </c>
      <c r="N79" s="235" t="s">
        <v>72</v>
      </c>
      <c r="O79" s="235" t="s">
        <v>162</v>
      </c>
      <c r="P79" s="237">
        <v>0.15</v>
      </c>
    </row>
    <row r="80" spans="2:16" ht="26.4" outlineLevel="1" x14ac:dyDescent="0.3">
      <c r="B80" s="233" t="s">
        <v>566</v>
      </c>
      <c r="C80" s="234" t="str">
        <f>'Расчёт закупки'!$B107</f>
        <v>Palo Alto</v>
      </c>
      <c r="D80" s="234" t="str">
        <f>'Расчёт закупки'!$C107</f>
        <v>PAN-PA-820-GP-HA2</v>
      </c>
      <c r="E80" s="234" t="str">
        <f>'Расчёт закупки'!$D107</f>
        <v>GlobalProtect subscription for devices in HA pair, PA-820</v>
      </c>
      <c r="F80" s="235">
        <f>'Расчёт закупки'!$E107</f>
        <v>2</v>
      </c>
      <c r="G80" s="235" t="str">
        <f>'Расчёт закупки'!$F107</f>
        <v>шт</v>
      </c>
      <c r="H80" s="236">
        <f>ROUND(IF(INDEX(источник,1)=$O80,'Расчёт закупки'!$G107,'Расчёт закупки'!$J107)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80,(1+$P80),1/(1-$P80)),2)</f>
        <v>705.88</v>
      </c>
      <c r="I80" s="236">
        <f t="shared" si="6"/>
        <v>1411.76</v>
      </c>
      <c r="J80" s="236">
        <f t="shared" si="7"/>
        <v>215.35</v>
      </c>
      <c r="K80" s="234">
        <f>'Расчёт закупки'!$M107</f>
        <v>0</v>
      </c>
      <c r="M80" s="235" t="s">
        <v>511</v>
      </c>
      <c r="N80" s="235" t="s">
        <v>72</v>
      </c>
      <c r="O80" s="235" t="s">
        <v>162</v>
      </c>
      <c r="P80" s="237">
        <v>0.15</v>
      </c>
    </row>
    <row r="81" spans="2:16" ht="26.4" outlineLevel="1" x14ac:dyDescent="0.3">
      <c r="B81" s="233" t="s">
        <v>567</v>
      </c>
      <c r="C81" s="234" t="str">
        <f>'Расчёт закупки'!$B108</f>
        <v>Palo Alto</v>
      </c>
      <c r="D81" s="234" t="str">
        <f>'Расчёт закупки'!$C108</f>
        <v>PAN-SVC-BKLN-820</v>
      </c>
      <c r="E81" s="234" t="str">
        <f>'Расчёт закупки'!$D108</f>
        <v>Partner enabled premium support year 1, PA-820</v>
      </c>
      <c r="F81" s="235">
        <f>'Расчёт закупки'!$E108</f>
        <v>2</v>
      </c>
      <c r="G81" s="235" t="str">
        <f>'Расчёт закупки'!$F108</f>
        <v>шт</v>
      </c>
      <c r="H81" s="236">
        <f>ROUND(IF(INDEX(источник,1)=$O81,'Расчёт закупки'!$G108,'Расчёт закупки'!$J108)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81,(1+$P81),1/(1-$P81)),2)</f>
        <v>1098.53</v>
      </c>
      <c r="I81" s="236">
        <f t="shared" si="6"/>
        <v>2197.06</v>
      </c>
      <c r="J81" s="236">
        <f t="shared" si="7"/>
        <v>335.14</v>
      </c>
      <c r="K81" s="234">
        <f>'Расчёт закупки'!$M108</f>
        <v>0</v>
      </c>
      <c r="M81" s="235" t="s">
        <v>512</v>
      </c>
      <c r="N81" s="235" t="s">
        <v>72</v>
      </c>
      <c r="O81" s="235" t="s">
        <v>162</v>
      </c>
      <c r="P81" s="237">
        <v>0.15</v>
      </c>
    </row>
    <row r="82" spans="2:16" outlineLevel="1" x14ac:dyDescent="0.3">
      <c r="B82" s="233" t="s">
        <v>561</v>
      </c>
      <c r="C82" s="234" t="str">
        <f>'Расчёт закупки'!$B101</f>
        <v>Palo Alto</v>
      </c>
      <c r="D82" s="234" t="str">
        <f>'Расчёт закупки'!$C101</f>
        <v>PAN-SFP-SX</v>
      </c>
      <c r="E82" s="234" t="str">
        <f>'Расчёт закупки'!$D101</f>
        <v>Palo Alto SFP 1G Transceiver</v>
      </c>
      <c r="F82" s="235">
        <f>'Расчёт закупки'!$E101</f>
        <v>4</v>
      </c>
      <c r="G82" s="235" t="str">
        <f>'Расчёт закупки'!$F101</f>
        <v>шт</v>
      </c>
      <c r="H82" s="236">
        <f>ROUND(IF(INDEX(источник,1)=$O82,'Расчёт закупки'!$G101,'Расчёт закупки'!$J101)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82,(1+$P82),1/(1-$P82)),2)</f>
        <v>456.88</v>
      </c>
      <c r="I82" s="236">
        <f t="shared" si="6"/>
        <v>1827.52</v>
      </c>
      <c r="J82" s="236">
        <f t="shared" si="7"/>
        <v>278.77</v>
      </c>
      <c r="K82" s="234">
        <f>'Расчёт закупки'!$M101</f>
        <v>0</v>
      </c>
      <c r="M82" s="235" t="s">
        <v>506</v>
      </c>
      <c r="N82" s="235" t="s">
        <v>72</v>
      </c>
      <c r="O82" s="235" t="s">
        <v>162</v>
      </c>
      <c r="P82" s="237">
        <v>0.15</v>
      </c>
    </row>
    <row r="83" spans="2:16" ht="26.4" outlineLevel="1" x14ac:dyDescent="0.3">
      <c r="B83" s="233" t="s">
        <v>562</v>
      </c>
      <c r="C83" s="234" t="str">
        <f>'Расчёт закупки'!$B102</f>
        <v>FS</v>
      </c>
      <c r="D83" s="234" t="str">
        <f>'Расчёт закупки'!$C102</f>
        <v>SFP1G-SX-85</v>
      </c>
      <c r="E83" s="234" t="str">
        <f>'Расчёт закупки'!$D102</f>
        <v xml:space="preserve">Extreme Networks 10051H Совместимый 1000BASE-SX Модуль SFP 850nm 550m </v>
      </c>
      <c r="F83" s="235">
        <f>'Расчёт закупки'!$E102</f>
        <v>4</v>
      </c>
      <c r="G83" s="235" t="str">
        <f>'Расчёт закупки'!$F102</f>
        <v>шт</v>
      </c>
      <c r="H83" s="236">
        <f>ROUND(IF(INDEX(источник,1)=$O83,'Расчёт закупки'!$G102,'Расчёт закупки'!$J102)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83,(1+$P83),1/(1-$P83)),2)</f>
        <v>7.06</v>
      </c>
      <c r="I83" s="236">
        <f t="shared" si="6"/>
        <v>28.24</v>
      </c>
      <c r="J83" s="236">
        <f t="shared" si="7"/>
        <v>4.3099999999999996</v>
      </c>
      <c r="K83" s="234">
        <f>'Расчёт закупки'!$M102</f>
        <v>0</v>
      </c>
      <c r="M83" s="235" t="s">
        <v>507</v>
      </c>
      <c r="N83" s="235" t="s">
        <v>72</v>
      </c>
      <c r="O83" s="235" t="s">
        <v>162</v>
      </c>
      <c r="P83" s="237">
        <v>0.15</v>
      </c>
    </row>
    <row r="84" spans="2:16" x14ac:dyDescent="0.3">
      <c r="B84" s="324" t="str">
        <f>"ПОДЫТОГ"&amp;IF(включить_НДС&lt;&gt;INDEX(НДС,3)," "&amp;включить_НДС,"")&amp;", "&amp;INDEX(валюта_кп,MATCH(валюта_расчёта,валюта,0))&amp;":"</f>
        <v>ПОДЫТОГ с НДС, долларов США:</v>
      </c>
      <c r="C84" s="325"/>
      <c r="D84" s="325"/>
      <c r="E84" s="325"/>
      <c r="F84" s="325"/>
      <c r="G84" s="325"/>
      <c r="H84" s="326"/>
      <c r="I84" s="241">
        <f>SUBTOTAL(9,I76:I83)</f>
        <v>16228.8</v>
      </c>
      <c r="J84" s="241">
        <f>SUBTOTAL(9,J76:J83)</f>
        <v>2475.5599999999995</v>
      </c>
      <c r="K84" s="241"/>
      <c r="M84" s="235"/>
      <c r="N84" s="235"/>
      <c r="O84" s="235"/>
      <c r="P84" s="237"/>
    </row>
    <row r="85" spans="2:16" x14ac:dyDescent="0.3">
      <c r="B85" s="240" t="s">
        <v>222</v>
      </c>
      <c r="C85" s="333" t="str">
        <f>'Расчёт закупки'!$D52</f>
        <v>Прочее</v>
      </c>
      <c r="D85" s="333"/>
      <c r="E85" s="333"/>
      <c r="F85" s="333"/>
      <c r="G85" s="333"/>
      <c r="H85" s="333"/>
      <c r="I85" s="333"/>
      <c r="J85" s="333"/>
      <c r="K85" s="333"/>
      <c r="M85" s="235" t="s">
        <v>465</v>
      </c>
      <c r="N85" s="235" t="s">
        <v>72</v>
      </c>
      <c r="O85" s="235" t="s">
        <v>162</v>
      </c>
      <c r="P85" s="237">
        <v>0.15</v>
      </c>
    </row>
    <row r="86" spans="2:16" ht="26.4" outlineLevel="1" x14ac:dyDescent="0.3">
      <c r="B86" s="233" t="s">
        <v>528</v>
      </c>
      <c r="C86" s="234" t="str">
        <f>'Расчёт закупки'!$B53</f>
        <v>HP</v>
      </c>
      <c r="D86" s="234" t="str">
        <f>'Расчёт закупки'!$C53</f>
        <v>X9S64EA</v>
      </c>
      <c r="E86" s="234" t="str">
        <f>'Расчёт закупки'!$D53</f>
        <v xml:space="preserve">HP t630 DM AMD GX-420GI(2Ghz)/4096Mb/32Gb/WiFi/war 3y/WES7E </v>
      </c>
      <c r="F86" s="235">
        <f>'Расчёт закупки'!$E53</f>
        <v>30</v>
      </c>
      <c r="G86" s="235" t="str">
        <f>'Расчёт закупки'!$F53</f>
        <v>шт</v>
      </c>
      <c r="H86" s="236">
        <f>ROUND(IF(INDEX(источник,1)=$O86,'Расчёт закупки'!$G53,'Расчёт закупки'!$J53)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86,(1+$P86),1/(1-$P86)),2)</f>
        <v>529.41</v>
      </c>
      <c r="I86" s="236">
        <f t="shared" ref="I86:I98" si="8">$F86*$H86</f>
        <v>15882.3</v>
      </c>
      <c r="J86" s="236">
        <f t="shared" ref="J86:J98" si="9">ROUND($I86*IF(включить_НДС=INDEX(НДС,1),0.18/1.18,IF(включить_НДС=INDEX(НДС,2),0.18,0)),2)</f>
        <v>2422.7199999999998</v>
      </c>
      <c r="K86" s="234">
        <f>'Расчёт закупки'!$M53</f>
        <v>0</v>
      </c>
      <c r="M86" s="235" t="s">
        <v>466</v>
      </c>
      <c r="N86" s="235" t="s">
        <v>72</v>
      </c>
      <c r="O86" s="235" t="s">
        <v>162</v>
      </c>
      <c r="P86" s="237">
        <v>0.15</v>
      </c>
    </row>
    <row r="87" spans="2:16" outlineLevel="1" x14ac:dyDescent="0.3">
      <c r="B87" s="233" t="s">
        <v>529</v>
      </c>
      <c r="C87" s="234" t="str">
        <f>'Расчёт закупки'!$B54</f>
        <v>Ubiquiti</v>
      </c>
      <c r="D87" s="234" t="str">
        <f>'Расчёт закупки'!$C54</f>
        <v>ERPro-8(EU)</v>
      </c>
      <c r="E87" s="234" t="str">
        <f>'Расчёт закупки'!$D54</f>
        <v>Ubiquiti Edgerouter PRO</v>
      </c>
      <c r="F87" s="235">
        <f>'Расчёт закупки'!$E54</f>
        <v>1</v>
      </c>
      <c r="G87" s="235" t="str">
        <f>'Расчёт закупки'!$F54</f>
        <v>шт</v>
      </c>
      <c r="H87" s="236">
        <f>ROUND(IF(INDEX(источник,1)=$O87,'Расчёт закупки'!$G54,'Расчёт закупки'!$J54)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87,(1+$P87),1/(1-$P87)),2)</f>
        <v>381.18</v>
      </c>
      <c r="I87" s="236">
        <f t="shared" si="8"/>
        <v>381.18</v>
      </c>
      <c r="J87" s="236">
        <f t="shared" si="9"/>
        <v>58.15</v>
      </c>
      <c r="K87" s="234">
        <f>'Расчёт закупки'!$M54</f>
        <v>0</v>
      </c>
      <c r="M87" s="235" t="s">
        <v>467</v>
      </c>
      <c r="N87" s="235" t="s">
        <v>72</v>
      </c>
      <c r="O87" s="235" t="s">
        <v>162</v>
      </c>
      <c r="P87" s="237">
        <v>0.15</v>
      </c>
    </row>
    <row r="88" spans="2:16" ht="26.4" outlineLevel="1" x14ac:dyDescent="0.3">
      <c r="B88" s="233" t="s">
        <v>530</v>
      </c>
      <c r="C88" s="234" t="str">
        <f>'Расчёт закупки'!$B55</f>
        <v>HPE</v>
      </c>
      <c r="D88" s="234" t="str">
        <f>'Расчёт закупки'!$C55</f>
        <v>J9984A</v>
      </c>
      <c r="E88" s="234" t="str">
        <f>'Расчёт закупки'!$D55</f>
        <v xml:space="preserve">J9984A HP 1820-48G-PoE+ (370W) Switch (24 ports 10/100/1000 + 24 ports 10/100/1000 PoE+ + 4 SFP, WEB </v>
      </c>
      <c r="F88" s="235">
        <f>'Расчёт закупки'!$E55</f>
        <v>1</v>
      </c>
      <c r="G88" s="235" t="str">
        <f>'Расчёт закупки'!$F55</f>
        <v>шт</v>
      </c>
      <c r="H88" s="236">
        <f>ROUND(IF(INDEX(источник,1)=$O88,'Расчёт закупки'!$G55,'Расчёт закупки'!$J55)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88,(1+$P88),1/(1-$P88)),2)</f>
        <v>888.24</v>
      </c>
      <c r="I88" s="236">
        <f t="shared" si="8"/>
        <v>888.24</v>
      </c>
      <c r="J88" s="236">
        <f t="shared" si="9"/>
        <v>135.49</v>
      </c>
      <c r="K88" s="234">
        <f>'Расчёт закупки'!$M55</f>
        <v>0</v>
      </c>
      <c r="M88" s="235" t="s">
        <v>468</v>
      </c>
      <c r="N88" s="235" t="s">
        <v>72</v>
      </c>
      <c r="O88" s="235" t="s">
        <v>162</v>
      </c>
      <c r="P88" s="237">
        <v>0.15</v>
      </c>
    </row>
    <row r="89" spans="2:16" ht="39.6" outlineLevel="1" x14ac:dyDescent="0.3">
      <c r="B89" s="233" t="s">
        <v>531</v>
      </c>
      <c r="C89" s="234">
        <f>'Расчёт закупки'!$B56</f>
        <v>0</v>
      </c>
      <c r="D89" s="234" t="str">
        <f>'Расчёт закупки'!$C56</f>
        <v>FC-D2-503-LC/PR-LC/PR-H-2M-LSZH-AQ</v>
      </c>
      <c r="E89" s="234" t="str">
        <f>'Расчёт закупки'!$D56</f>
        <v>Патч-корд волоконно-оптический (шнур) MM 50/125(OM3), LC-LC, duplex, 10G/40G, LSZH, 2 м</v>
      </c>
      <c r="F89" s="235">
        <f>'Расчёт закупки'!$E56</f>
        <v>6</v>
      </c>
      <c r="G89" s="235" t="str">
        <f>'Расчёт закупки'!$F56</f>
        <v>шт</v>
      </c>
      <c r="H89" s="236">
        <f>ROUND(IF(INDEX(источник,1)=$O89,'Расчёт закупки'!$G56,'Расчёт закупки'!$J56)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89,(1+$P89),1/(1-$P89)),2)</f>
        <v>21.88</v>
      </c>
      <c r="I89" s="236">
        <f t="shared" si="8"/>
        <v>131.28</v>
      </c>
      <c r="J89" s="236">
        <f t="shared" si="9"/>
        <v>20.03</v>
      </c>
      <c r="K89" s="234">
        <f>'Расчёт закупки'!$M56</f>
        <v>0</v>
      </c>
      <c r="M89" s="235" t="s">
        <v>469</v>
      </c>
      <c r="N89" s="235" t="s">
        <v>72</v>
      </c>
      <c r="O89" s="235" t="s">
        <v>162</v>
      </c>
      <c r="P89" s="237">
        <v>0.15</v>
      </c>
    </row>
    <row r="90" spans="2:16" ht="39.6" outlineLevel="1" x14ac:dyDescent="0.3">
      <c r="B90" s="233" t="s">
        <v>532</v>
      </c>
      <c r="C90" s="234">
        <f>'Расчёт закупки'!$B57</f>
        <v>0</v>
      </c>
      <c r="D90" s="234" t="str">
        <f>'Расчёт закупки'!$C57</f>
        <v>FC-D2-503-LC/PR-LC/PR-H-3M-LSZH-AQ</v>
      </c>
      <c r="E90" s="234" t="str">
        <f>'Расчёт закупки'!$D57</f>
        <v xml:space="preserve"> Патч-корд волоконно-оптический (шнур) MM 50/125(OM3), LC-LC, duplex, 10G/40G, LSZH, 3 м</v>
      </c>
      <c r="F90" s="235">
        <f>'Расчёт закупки'!$E57</f>
        <v>8</v>
      </c>
      <c r="G90" s="235" t="str">
        <f>'Расчёт закупки'!$F57</f>
        <v>шт</v>
      </c>
      <c r="H90" s="236">
        <f>ROUND(IF(INDEX(источник,1)=$O90,'Расчёт закупки'!$G57,'Расчёт закупки'!$J57)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90,(1+$P90),1/(1-$P90)),2)</f>
        <v>23.1</v>
      </c>
      <c r="I90" s="236">
        <f t="shared" si="8"/>
        <v>184.8</v>
      </c>
      <c r="J90" s="236">
        <f t="shared" si="9"/>
        <v>28.19</v>
      </c>
      <c r="K90" s="234">
        <f>'Расчёт закупки'!$M57</f>
        <v>0</v>
      </c>
      <c r="M90" s="235" t="s">
        <v>470</v>
      </c>
      <c r="N90" s="235" t="s">
        <v>72</v>
      </c>
      <c r="O90" s="235" t="s">
        <v>162</v>
      </c>
      <c r="P90" s="237">
        <v>0.15</v>
      </c>
    </row>
    <row r="91" spans="2:16" ht="26.4" outlineLevel="1" x14ac:dyDescent="0.3">
      <c r="B91" s="233" t="s">
        <v>533</v>
      </c>
      <c r="C91" s="234" t="str">
        <f>'Расчёт закупки'!$B58</f>
        <v>Extreme Network</v>
      </c>
      <c r="D91" s="234">
        <f>'Расчёт закупки'!$C58</f>
        <v>17404</v>
      </c>
      <c r="E91" s="234" t="str">
        <f>'Расчёт закупки'!$D58</f>
        <v xml:space="preserve">Коммутатор Extreme X620-10x </v>
      </c>
      <c r="F91" s="235">
        <f>'Расчёт закупки'!$E58</f>
        <v>2</v>
      </c>
      <c r="G91" s="235" t="str">
        <f>'Расчёт закупки'!$F58</f>
        <v>шт</v>
      </c>
      <c r="H91" s="236">
        <f>ROUND(IF(INDEX(источник,1)=$O91,'Расчёт закупки'!$G58,'Расчёт закупки'!$J58)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91,(1+$P91),1/(1-$P91)),2)</f>
        <v>2743.53</v>
      </c>
      <c r="I91" s="236">
        <f t="shared" si="8"/>
        <v>5487.06</v>
      </c>
      <c r="J91" s="236">
        <f t="shared" si="9"/>
        <v>837.01</v>
      </c>
      <c r="K91" s="234">
        <f>'Расчёт закупки'!$M58</f>
        <v>0</v>
      </c>
      <c r="M91" s="235" t="s">
        <v>471</v>
      </c>
      <c r="N91" s="235" t="s">
        <v>72</v>
      </c>
      <c r="O91" s="235" t="s">
        <v>162</v>
      </c>
      <c r="P91" s="237">
        <v>0.15</v>
      </c>
    </row>
    <row r="92" spans="2:16" ht="26.4" outlineLevel="1" x14ac:dyDescent="0.3">
      <c r="B92" s="233" t="s">
        <v>534</v>
      </c>
      <c r="C92" s="234" t="str">
        <f>'Расчёт закупки'!$B59</f>
        <v>Extreme Network</v>
      </c>
      <c r="D92" s="234">
        <f>'Расчёт закупки'!$C59</f>
        <v>16566</v>
      </c>
      <c r="E92" s="234" t="str">
        <f>'Расчёт закупки'!$D59</f>
        <v>Коммутатор Extreme 210-12t-GE2</v>
      </c>
      <c r="F92" s="235">
        <f>'Расчёт закупки'!$E59</f>
        <v>1</v>
      </c>
      <c r="G92" s="235" t="str">
        <f>'Расчёт закупки'!$F59</f>
        <v>шт</v>
      </c>
      <c r="H92" s="236">
        <f>ROUND(IF(INDEX(источник,1)=$O92,'Расчёт закупки'!$G59,'Расчёт закупки'!$J59)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92,(1+$P92),1/(1-$P92)),2)</f>
        <v>417.06</v>
      </c>
      <c r="I92" s="236">
        <f t="shared" si="8"/>
        <v>417.06</v>
      </c>
      <c r="J92" s="236">
        <f t="shared" si="9"/>
        <v>63.62</v>
      </c>
      <c r="K92" s="234">
        <f>'Расчёт закупки'!$M59</f>
        <v>0</v>
      </c>
      <c r="M92" s="235" t="s">
        <v>472</v>
      </c>
      <c r="N92" s="235" t="s">
        <v>72</v>
      </c>
      <c r="O92" s="235" t="s">
        <v>162</v>
      </c>
      <c r="P92" s="237">
        <v>0.15</v>
      </c>
    </row>
    <row r="93" spans="2:16" ht="26.4" outlineLevel="1" x14ac:dyDescent="0.3">
      <c r="B93" s="233" t="s">
        <v>535</v>
      </c>
      <c r="C93" s="234" t="str">
        <f>'Расчёт закупки'!$B60</f>
        <v>Extreme Network</v>
      </c>
      <c r="D93" s="234">
        <f>'Расчёт закупки'!$C60</f>
        <v>10301</v>
      </c>
      <c r="E93" s="234" t="str">
        <f>'Расчёт закупки'!$D60</f>
        <v>Трансивер Extreme 10GBASE-SR SFP+, 850nm, LC Connector, transmission length of up to 300m on MM</v>
      </c>
      <c r="F93" s="235">
        <f>'Расчёт закупки'!$E60</f>
        <v>8</v>
      </c>
      <c r="G93" s="235" t="str">
        <f>'Расчёт закупки'!$F60</f>
        <v>шт</v>
      </c>
      <c r="H93" s="236">
        <f>ROUND(IF(INDEX(источник,1)=$O93,'Расчёт закупки'!$G60,'Расчёт закупки'!$J60)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93,(1+$P93),1/(1-$P93)),2)</f>
        <v>960</v>
      </c>
      <c r="I93" s="236">
        <f t="shared" si="8"/>
        <v>7680</v>
      </c>
      <c r="J93" s="236">
        <f t="shared" si="9"/>
        <v>1171.53</v>
      </c>
      <c r="K93" s="234">
        <f>'Расчёт закупки'!$M60</f>
        <v>0</v>
      </c>
      <c r="M93" s="235" t="s">
        <v>473</v>
      </c>
      <c r="N93" s="235" t="s">
        <v>72</v>
      </c>
      <c r="O93" s="235" t="s">
        <v>162</v>
      </c>
      <c r="P93" s="237">
        <v>0.15</v>
      </c>
    </row>
    <row r="94" spans="2:16" ht="26.4" outlineLevel="1" x14ac:dyDescent="0.3">
      <c r="B94" s="233" t="s">
        <v>536</v>
      </c>
      <c r="C94" s="234" t="str">
        <f>'Расчёт закупки'!$B61</f>
        <v>FS</v>
      </c>
      <c r="D94" s="234" t="str">
        <f>'Расчёт закупки'!$C61</f>
        <v>SFP-10GSR-85</v>
      </c>
      <c r="E94" s="234" t="str">
        <f>'Расчёт закупки'!$D61</f>
        <v>Extreme Networks 10301 Совместимый 10GBASE-SR Модуль SFP+ 850nm 300m DOM</v>
      </c>
      <c r="F94" s="235">
        <f>'Расчёт закупки'!$E61</f>
        <v>8</v>
      </c>
      <c r="G94" s="235" t="str">
        <f>'Расчёт закупки'!$F61</f>
        <v>шт</v>
      </c>
      <c r="H94" s="236">
        <f>ROUND(IF(INDEX(источник,1)=$O94,'Расчёт закупки'!$G61,'Расчёт закупки'!$J61)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94,(1+$P94),1/(1-$P94)),2)</f>
        <v>18.82</v>
      </c>
      <c r="I94" s="236">
        <f t="shared" si="8"/>
        <v>150.56</v>
      </c>
      <c r="J94" s="236">
        <f t="shared" si="9"/>
        <v>22.97</v>
      </c>
      <c r="K94" s="234">
        <f>'Расчёт закупки'!$M61</f>
        <v>0</v>
      </c>
      <c r="M94" s="235" t="s">
        <v>474</v>
      </c>
      <c r="N94" s="235" t="s">
        <v>72</v>
      </c>
      <c r="O94" s="235" t="s">
        <v>162</v>
      </c>
      <c r="P94" s="237">
        <v>0.15</v>
      </c>
    </row>
    <row r="95" spans="2:16" ht="26.4" outlineLevel="1" x14ac:dyDescent="0.3">
      <c r="B95" s="233" t="s">
        <v>361</v>
      </c>
      <c r="C95" s="234" t="str">
        <f>'Расчёт закупки'!$B62</f>
        <v>Extreme Network</v>
      </c>
      <c r="D95" s="234" t="str">
        <f>'Расчёт закупки'!$C62</f>
        <v>10051H</v>
      </c>
      <c r="E95" s="234" t="str">
        <f>'Расчёт закупки'!$D62</f>
        <v>Трансивер Extreme 1000BASE-SX SFP, MMF 210 &amp; 550 meters, LC connector, Industrial Temp</v>
      </c>
      <c r="F95" s="235">
        <f>'Расчёт закупки'!$E62</f>
        <v>8</v>
      </c>
      <c r="G95" s="235" t="str">
        <f>'Расчёт закупки'!$F62</f>
        <v>шт</v>
      </c>
      <c r="H95" s="236">
        <f>ROUND(IF(INDEX(источник,1)=$O95,'Расчёт закупки'!$G62,'Расчёт закупки'!$J62)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95,(1+$P95),1/(1-$P95)),2)</f>
        <v>397.65</v>
      </c>
      <c r="I95" s="236">
        <f t="shared" si="8"/>
        <v>3181.2</v>
      </c>
      <c r="J95" s="236">
        <f t="shared" si="9"/>
        <v>485.27</v>
      </c>
      <c r="K95" s="234">
        <f>'Расчёт закупки'!$M62</f>
        <v>0</v>
      </c>
      <c r="M95" s="235" t="s">
        <v>475</v>
      </c>
      <c r="N95" s="235" t="s">
        <v>72</v>
      </c>
      <c r="O95" s="235" t="s">
        <v>162</v>
      </c>
      <c r="P95" s="237">
        <v>0.15</v>
      </c>
    </row>
    <row r="96" spans="2:16" ht="26.4" outlineLevel="1" x14ac:dyDescent="0.3">
      <c r="B96" s="233" t="s">
        <v>363</v>
      </c>
      <c r="C96" s="234" t="str">
        <f>'Расчёт закупки'!$B63</f>
        <v>FS</v>
      </c>
      <c r="D96" s="234" t="str">
        <f>'Расчёт закупки'!$C63</f>
        <v>SFP1G-SX-85</v>
      </c>
      <c r="E96" s="234" t="str">
        <f>'Расчёт закупки'!$D63</f>
        <v xml:space="preserve">Extreme Networks 10051H Совместимый 1000BASE-SX Модуль SFP 850nm 550m </v>
      </c>
      <c r="F96" s="235">
        <f>'Расчёт закупки'!$E63</f>
        <v>8</v>
      </c>
      <c r="G96" s="235" t="str">
        <f>'Расчёт закупки'!$F63</f>
        <v>шт</v>
      </c>
      <c r="H96" s="236">
        <f>ROUND(IF(INDEX(источник,1)=$O96,'Расчёт закупки'!$G63,'Расчёт закупки'!$J63)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96,(1+$P96),1/(1-$P96)),2)</f>
        <v>7.06</v>
      </c>
      <c r="I96" s="236">
        <f t="shared" si="8"/>
        <v>56.48</v>
      </c>
      <c r="J96" s="236">
        <f t="shared" si="9"/>
        <v>8.6199999999999992</v>
      </c>
      <c r="K96" s="234">
        <f>'Расчёт закупки'!$M63</f>
        <v>0</v>
      </c>
      <c r="M96" s="235" t="s">
        <v>476</v>
      </c>
      <c r="N96" s="235" t="s">
        <v>72</v>
      </c>
      <c r="O96" s="235" t="s">
        <v>162</v>
      </c>
      <c r="P96" s="237">
        <v>0.15</v>
      </c>
    </row>
    <row r="97" spans="2:16" ht="26.4" outlineLevel="1" x14ac:dyDescent="0.3">
      <c r="B97" s="233" t="s">
        <v>365</v>
      </c>
      <c r="C97" s="234" t="str">
        <f>'Расчёт закупки'!$B64</f>
        <v>NVIDIA</v>
      </c>
      <c r="D97" s="234" t="str">
        <f>'Расчёт закупки'!$C64</f>
        <v>711-5GRID-VWS0-002</v>
      </c>
      <c r="E97" s="234" t="str">
        <f>'Расчёт закупки'!$D64</f>
        <v>GRID vWS Perpetual License, 1 CCU</v>
      </c>
      <c r="F97" s="235">
        <f>'Расчёт закупки'!$E64</f>
        <v>30</v>
      </c>
      <c r="G97" s="235" t="str">
        <f>'Расчёт закупки'!$F64</f>
        <v>шт</v>
      </c>
      <c r="H97" s="236">
        <f>ROUND(IF(INDEX(источник,1)=$O97,'Расчёт закупки'!$G64,'Расчёт закупки'!$J64)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97,(1+$P97),1/(1-$P97)),2)</f>
        <v>562.24</v>
      </c>
      <c r="I97" s="236">
        <f t="shared" si="8"/>
        <v>16867.2</v>
      </c>
      <c r="J97" s="236">
        <f t="shared" si="9"/>
        <v>2572.96</v>
      </c>
      <c r="K97" s="234">
        <f>'Расчёт закупки'!$M64</f>
        <v>0</v>
      </c>
      <c r="M97" s="235" t="s">
        <v>477</v>
      </c>
      <c r="N97" s="235" t="s">
        <v>72</v>
      </c>
      <c r="O97" s="235" t="s">
        <v>162</v>
      </c>
      <c r="P97" s="237">
        <v>0.15</v>
      </c>
    </row>
    <row r="98" spans="2:16" ht="26.4" outlineLevel="1" x14ac:dyDescent="0.3">
      <c r="B98" s="233" t="s">
        <v>367</v>
      </c>
      <c r="C98" s="234" t="str">
        <f>'Расчёт закупки'!$B65</f>
        <v>NVIDIA</v>
      </c>
      <c r="D98" s="234" t="str">
        <f>'Расчёт закупки'!$C65</f>
        <v>712-5GRID-VWS0-NP0</v>
      </c>
      <c r="E98" s="234" t="str">
        <f>'Расчёт закупки'!$D65</f>
        <v>GRID vWS Prod SUMS 1st year 1CCU</v>
      </c>
      <c r="F98" s="235">
        <f>'Расчёт закупки'!$E65</f>
        <v>30</v>
      </c>
      <c r="G98" s="235" t="str">
        <f>'Расчёт закупки'!$F65</f>
        <v>шт</v>
      </c>
      <c r="H98" s="236">
        <f>ROUND(IF(INDEX(источник,1)=$O98,'Расчёт закупки'!$G65,'Расчёт закупки'!$J65)*IF(включить_транспортные_расходы="да",(1+стоимость_доставки/себестоимость*INDEX(расчёт_курса,MATCH(валюта_расчёта,валюта,0),2)*INDEX(расчёт_НДС,MATCH(включить_НДС,НДС,0),1)),1)*IF(INDEX(прибыль,1)=$N98,(1+$P98),1/(1-$P98)),2)</f>
        <v>131.88</v>
      </c>
      <c r="I98" s="236">
        <f t="shared" si="8"/>
        <v>3956.3999999999996</v>
      </c>
      <c r="J98" s="236">
        <f t="shared" si="9"/>
        <v>603.52</v>
      </c>
      <c r="K98" s="234">
        <f>'Расчёт закупки'!$M65</f>
        <v>0</v>
      </c>
      <c r="M98" s="235" t="s">
        <v>478</v>
      </c>
      <c r="N98" s="235" t="s">
        <v>72</v>
      </c>
      <c r="O98" s="235" t="s">
        <v>162</v>
      </c>
      <c r="P98" s="237">
        <v>0.15</v>
      </c>
    </row>
    <row r="99" spans="2:16" x14ac:dyDescent="0.3">
      <c r="B99" s="324" t="str">
        <f>"ПОДЫТОГ"&amp;IF(включить_НДС&lt;&gt;INDEX(НДС,3)," "&amp;включить_НДС,"")&amp;", "&amp;INDEX(валюта_кп,MATCH(валюта_расчёта,валюта,0))&amp;":"</f>
        <v>ПОДЫТОГ с НДС, долларов США:</v>
      </c>
      <c r="C99" s="325"/>
      <c r="D99" s="325"/>
      <c r="E99" s="325"/>
      <c r="F99" s="325"/>
      <c r="G99" s="325"/>
      <c r="H99" s="326"/>
      <c r="I99" s="241">
        <f>SUBTOTAL(9,I85:I98)</f>
        <v>55263.76</v>
      </c>
      <c r="J99" s="241">
        <f>SUBTOTAL(9,J85:J98)</f>
        <v>8430.08</v>
      </c>
      <c r="K99" s="241"/>
      <c r="M99" s="242"/>
      <c r="N99" s="242"/>
      <c r="O99" s="242"/>
      <c r="P99" s="243"/>
    </row>
    <row r="100" spans="2:16" x14ac:dyDescent="0.3">
      <c r="B100" s="324" t="str">
        <f>"ИТОГО "&amp;IF(включить_НДС&lt;&gt;INDEX(НДС,3),включить_НДС,"(НДС не облагается в соответствии с пп.26 ч.2 ст.149 НК РФ)")&amp;", "&amp;INDEX(валюта_кп,MATCH(валюта_расчёта,валюта,0))&amp;":"</f>
        <v>ИТОГО с НДС, долларов США:</v>
      </c>
      <c r="C100" s="325"/>
      <c r="D100" s="325"/>
      <c r="E100" s="325"/>
      <c r="F100" s="325"/>
      <c r="G100" s="325"/>
      <c r="H100" s="326"/>
      <c r="I100" s="241">
        <f>SUBTOTAL(9,I21:I99)</f>
        <v>178654.68</v>
      </c>
      <c r="J100" s="241">
        <f>SUBTOTAL(9,J21:J99)</f>
        <v>27252.409999999993</v>
      </c>
      <c r="K100" s="241"/>
    </row>
  </sheetData>
  <sortState ref="B21:P98">
    <sortCondition ref="B21"/>
  </sortState>
  <dataConsolidate/>
  <mergeCells count="19">
    <mergeCell ref="C21:K21"/>
    <mergeCell ref="B100:H100"/>
    <mergeCell ref="B29:H29"/>
    <mergeCell ref="F22:F28"/>
    <mergeCell ref="G22:G28"/>
    <mergeCell ref="H22:H28"/>
    <mergeCell ref="B75:H75"/>
    <mergeCell ref="C76:K76"/>
    <mergeCell ref="B84:H84"/>
    <mergeCell ref="C85:K85"/>
    <mergeCell ref="C65:K65"/>
    <mergeCell ref="B99:H99"/>
    <mergeCell ref="J22:J28"/>
    <mergeCell ref="C22:E22"/>
    <mergeCell ref="C30:K30"/>
    <mergeCell ref="B47:H47"/>
    <mergeCell ref="C48:K48"/>
    <mergeCell ref="B64:H64"/>
    <mergeCell ref="I22:I28"/>
  </mergeCells>
  <conditionalFormatting sqref="N21:N99">
    <cfRule type="containsText" dxfId="3" priority="1" stopIfTrue="1" operator="containsText" text="наценка">
      <formula>NOT(ISERROR(SEARCH("наценка",N21)))</formula>
    </cfRule>
    <cfRule type="containsText" dxfId="2" priority="2" stopIfTrue="1" operator="containsText" text="маржа">
      <formula>NOT(ISERROR(SEARCH("маржа",N21)))</formula>
    </cfRule>
  </conditionalFormatting>
  <conditionalFormatting sqref="O21:O99">
    <cfRule type="containsText" dxfId="1" priority="3" stopIfTrue="1" operator="containsText" text="GPL">
      <formula>NOT(ISERROR(SEARCH("GPL",O21)))</formula>
    </cfRule>
    <cfRule type="containsText" dxfId="0" priority="4" stopIfTrue="1" operator="containsText" text="вход">
      <formula>NOT(ISERROR(SEARCH("вход",O21)))</formula>
    </cfRule>
  </conditionalFormatting>
  <conditionalFormatting sqref="P21:P99">
    <cfRule type="colorScale" priority="5">
      <colorScale>
        <cfvo type="num" val="0"/>
        <cfvo type="num" val="0.1"/>
        <cfvo type="num" val="0.3"/>
        <color rgb="FFFF5050"/>
        <color rgb="FFFFFF99"/>
        <color rgb="FF339966"/>
      </colorScale>
    </cfRule>
  </conditionalFormatting>
  <dataValidations count="2">
    <dataValidation type="list" allowBlank="1" showInputMessage="1" showErrorMessage="1" sqref="N21:N99">
      <formula1>прибыль</formula1>
    </dataValidation>
    <dataValidation type="list" allowBlank="1" showInputMessage="1" showErrorMessage="1" sqref="O21:O99">
      <formula1>источник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p/n">
              <controlPr defaultSize="0" autoFill="0" autoLine="0" autoPict="0" macro="[0]!SalesColumns_Click" altText="3">
                <anchor>
                  <from>
                    <xdr:col>1</xdr:col>
                    <xdr:colOff>335280</xdr:colOff>
                    <xdr:row>5</xdr:row>
                    <xdr:rowOff>0</xdr:rowOff>
                  </from>
                  <to>
                    <xdr:col>4</xdr:col>
                    <xdr:colOff>236220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Наименование">
              <controlPr defaultSize="0" autoFill="0" autoLine="0" autoPict="0" macro="[0]!SalesColumns_Click" altText="4">
                <anchor>
                  <from>
                    <xdr:col>1</xdr:col>
                    <xdr:colOff>335280</xdr:colOff>
                    <xdr:row>6</xdr:row>
                    <xdr:rowOff>22860</xdr:rowOff>
                  </from>
                  <to>
                    <xdr:col>4</xdr:col>
                    <xdr:colOff>236220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Кол-во">
              <controlPr defaultSize="0" autoFill="0" autoLine="0" autoPict="0" macro="[0]!SalesColumns_Click" altText="5">
                <anchor>
                  <from>
                    <xdr:col>1</xdr:col>
                    <xdr:colOff>335280</xdr:colOff>
                    <xdr:row>7</xdr:row>
                    <xdr:rowOff>45720</xdr:rowOff>
                  </from>
                  <to>
                    <xdr:col>4</xdr:col>
                    <xdr:colOff>236220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Ед. изм.">
              <controlPr defaultSize="0" autoFill="0" autoLine="0" autoPict="0" macro="[0]!SalesColumns_Click" altText="6">
                <anchor>
                  <from>
                    <xdr:col>1</xdr:col>
                    <xdr:colOff>335280</xdr:colOff>
                    <xdr:row>8</xdr:row>
                    <xdr:rowOff>60960</xdr:rowOff>
                  </from>
                  <to>
                    <xdr:col>4</xdr:col>
                    <xdr:colOff>236220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Сумма">
              <controlPr defaultSize="0" autoFill="0" autoLine="0" autoPict="0" macro="[0]!SalesColumns_Click" altText="8">
                <anchor>
                  <from>
                    <xdr:col>1</xdr:col>
                    <xdr:colOff>335280</xdr:colOff>
                    <xdr:row>10</xdr:row>
                    <xdr:rowOff>106680</xdr:rowOff>
                  </from>
                  <to>
                    <xdr:col>4</xdr:col>
                    <xdr:colOff>236220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Цена">
              <controlPr defaultSize="0" autoFill="0" autoLine="0" autoPict="0" macro="[0]!SalesColumns_Click" altText="7">
                <anchor>
                  <from>
                    <xdr:col>1</xdr:col>
                    <xdr:colOff>335280</xdr:colOff>
                    <xdr:row>9</xdr:row>
                    <xdr:rowOff>83820</xdr:rowOff>
                  </from>
                  <to>
                    <xdr:col>4</xdr:col>
                    <xdr:colOff>236220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НДС">
              <controlPr defaultSize="0" autoFill="0" autoLine="0" autoPict="0" macro="[0]!SalesColumns_Click" altText="9">
                <anchor>
                  <from>
                    <xdr:col>1</xdr:col>
                    <xdr:colOff>335280</xdr:colOff>
                    <xdr:row>11</xdr:row>
                    <xdr:rowOff>121920</xdr:rowOff>
                  </from>
                  <to>
                    <xdr:col>4</xdr:col>
                    <xdr:colOff>236220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Срок доставки">
              <controlPr defaultSize="0" autoFill="0" autoLine="0" autoPict="0" macro="[0]!SalesColumns_Click" altText="10">
                <anchor>
                  <from>
                    <xdr:col>1</xdr:col>
                    <xdr:colOff>335280</xdr:colOff>
                    <xdr:row>12</xdr:row>
                    <xdr:rowOff>144780</xdr:rowOff>
                  </from>
                  <to>
                    <xdr:col>4</xdr:col>
                    <xdr:colOff>236220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№">
              <controlPr defaultSize="0" autoFill="0" autoLine="0" autoPict="0" macro="[0]!SalesColumns_Click" altText="1">
                <anchor>
                  <from>
                    <xdr:col>1</xdr:col>
                    <xdr:colOff>335280</xdr:colOff>
                    <xdr:row>2</xdr:row>
                    <xdr:rowOff>144780</xdr:rowOff>
                  </from>
                  <to>
                    <xdr:col>4</xdr:col>
                    <xdr:colOff>236220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Производитель">
              <controlPr defaultSize="0" autoFill="0" autoLine="0" autoPict="0" macro="[0]!SalesColumns_Click" altText="2">
                <anchor>
                  <from>
                    <xdr:col>1</xdr:col>
                    <xdr:colOff>335280</xdr:colOff>
                    <xdr:row>3</xdr:row>
                    <xdr:rowOff>167640</xdr:rowOff>
                  </from>
                  <to>
                    <xdr:col>4</xdr:col>
                    <xdr:colOff>236220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Список _НДС_">
              <controlPr defaultSize="0" autoLine="0" autoPict="0" macro="[0]!VATComboBox_Change" altText="VATComboBox">
                <anchor>
                  <from>
                    <xdr:col>4</xdr:col>
                    <xdr:colOff>1539240</xdr:colOff>
                    <xdr:row>4</xdr:row>
                    <xdr:rowOff>30480</xdr:rowOff>
                  </from>
                  <to>
                    <xdr:col>4</xdr:col>
                    <xdr:colOff>2438400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Включить доставку">
              <controlPr defaultSize="0" autoFill="0" autoLine="0" autoPict="0" macro="[0]!DeliveryCostsCheckbox_Change">
                <anchor>
                  <from>
                    <xdr:col>4</xdr:col>
                    <xdr:colOff>541020</xdr:colOff>
                    <xdr:row>5</xdr:row>
                    <xdr:rowOff>99060</xdr:rowOff>
                  </from>
                  <to>
                    <xdr:col>4</xdr:col>
                    <xdr:colOff>2446020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6" name="Окно группы: колонки таблицы КП">
              <controlPr defaultSize="0" autoFill="0" autoPict="0">
                <anchor>
                  <from>
                    <xdr:col>1</xdr:col>
                    <xdr:colOff>236220</xdr:colOff>
                    <xdr:row>1</xdr:row>
                    <xdr:rowOff>175260</xdr:rowOff>
                  </from>
                  <to>
                    <xdr:col>4</xdr:col>
                    <xdr:colOff>342900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7" name="Список _валюта_">
              <controlPr defaultSize="0" autoLine="0" autoPict="0" macro="[0]!CurrencyComboBox_Change" altText="CurrencyComboBox">
                <anchor>
                  <from>
                    <xdr:col>4</xdr:col>
                    <xdr:colOff>1539240</xdr:colOff>
                    <xdr:row>2</xdr:row>
                    <xdr:rowOff>144780</xdr:rowOff>
                  </from>
                  <to>
                    <xdr:col>4</xdr:col>
                    <xdr:colOff>2438400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Маржа">
              <controlPr defaultSize="0" autoFill="0" autoLine="0" autoPict="0" altText="маржа">
                <anchor>
                  <from>
                    <xdr:col>4</xdr:col>
                    <xdr:colOff>640080</xdr:colOff>
                    <xdr:row>10</xdr:row>
                    <xdr:rowOff>99060</xdr:rowOff>
                  </from>
                  <to>
                    <xdr:col>4</xdr:col>
                    <xdr:colOff>1333500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Окно группы: Расчёт прибыли">
              <controlPr defaultSize="0" autoFill="0" autoPict="0">
                <anchor>
                  <from>
                    <xdr:col>4</xdr:col>
                    <xdr:colOff>441960</xdr:colOff>
                    <xdr:row>8</xdr:row>
                    <xdr:rowOff>60960</xdr:rowOff>
                  </from>
                  <to>
                    <xdr:col>4</xdr:col>
                    <xdr:colOff>2552700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Наценка">
              <controlPr defaultSize="0" autoFill="0" autoLine="0" autoPict="0" altText="наценка">
                <anchor>
                  <from>
                    <xdr:col>4</xdr:col>
                    <xdr:colOff>640080</xdr:colOff>
                    <xdr:row>9</xdr:row>
                    <xdr:rowOff>129540</xdr:rowOff>
                  </from>
                  <to>
                    <xdr:col>4</xdr:col>
                    <xdr:colOff>1333500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Кнопка _рассчитать_">
              <controlPr defaultSize="0" autoFill="0" autoPict="0" macro="[0]!ProfitButton_Click">
                <anchor>
                  <from>
                    <xdr:col>4</xdr:col>
                    <xdr:colOff>1546860</xdr:colOff>
                    <xdr:row>12</xdr:row>
                    <xdr:rowOff>91440</xdr:rowOff>
                  </from>
                  <to>
                    <xdr:col>4</xdr:col>
                    <xdr:colOff>2446020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2" name="Окно группы: Параметры расчёта">
              <controlPr defaultSize="0" autoFill="0" autoPict="0">
                <anchor>
                  <from>
                    <xdr:col>4</xdr:col>
                    <xdr:colOff>441960</xdr:colOff>
                    <xdr:row>1</xdr:row>
                    <xdr:rowOff>175260</xdr:rowOff>
                  </from>
                  <to>
                    <xdr:col>4</xdr:col>
                    <xdr:colOff>2552700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3" name="Метка _валюта_">
              <controlPr defaultSize="0" autoFill="0" autoLine="0" autoPict="0">
                <anchor>
                  <from>
                    <xdr:col>4</xdr:col>
                    <xdr:colOff>541020</xdr:colOff>
                    <xdr:row>2</xdr:row>
                    <xdr:rowOff>144780</xdr:rowOff>
                  </from>
                  <to>
                    <xdr:col>4</xdr:col>
                    <xdr:colOff>1440180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4" name="Метка _НДС_">
              <controlPr defaultSize="0" autoFill="0" autoLine="0" autoPict="0">
                <anchor>
                  <from>
                    <xdr:col>4</xdr:col>
                    <xdr:colOff>541020</xdr:colOff>
                    <xdr:row>4</xdr:row>
                    <xdr:rowOff>30480</xdr:rowOff>
                  </from>
                  <to>
                    <xdr:col>4</xdr:col>
                    <xdr:colOff>1440180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5" name="Окно группы: Способ расчёта">
              <controlPr defaultSize="0" autoFill="0" autoPict="0">
                <anchor>
                  <from>
                    <xdr:col>4</xdr:col>
                    <xdr:colOff>541020</xdr:colOff>
                    <xdr:row>9</xdr:row>
                    <xdr:rowOff>30480</xdr:rowOff>
                  </from>
                  <to>
                    <xdr:col>4</xdr:col>
                    <xdr:colOff>1440180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6" name="От входа">
              <controlPr defaultSize="0" autoFill="0" autoLine="0" autoPict="0" altText="вход">
                <anchor>
                  <from>
                    <xdr:col>4</xdr:col>
                    <xdr:colOff>1638300</xdr:colOff>
                    <xdr:row>10</xdr:row>
                    <xdr:rowOff>99060</xdr:rowOff>
                  </from>
                  <to>
                    <xdr:col>4</xdr:col>
                    <xdr:colOff>2331720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7" name="От GPL">
              <controlPr defaultSize="0" autoFill="0" autoLine="0" autoPict="0" altText="GPL">
                <anchor>
                  <from>
                    <xdr:col>4</xdr:col>
                    <xdr:colOff>1638300</xdr:colOff>
                    <xdr:row>9</xdr:row>
                    <xdr:rowOff>129540</xdr:rowOff>
                  </from>
                  <to>
                    <xdr:col>4</xdr:col>
                    <xdr:colOff>2331720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28" name="Окно группы: Источник">
              <controlPr defaultSize="0" autoFill="0" autoPict="0">
                <anchor>
                  <from>
                    <xdr:col>4</xdr:col>
                    <xdr:colOff>1539240</xdr:colOff>
                    <xdr:row>9</xdr:row>
                    <xdr:rowOff>30480</xdr:rowOff>
                  </from>
                  <to>
                    <xdr:col>4</xdr:col>
                    <xdr:colOff>2438400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29" name="Кнопка: в excel">
              <controlPr defaultSize="0" autoFill="0" autoPict="0" macro="[0]!excelExportButton_Click">
                <anchor>
                  <from>
                    <xdr:col>4</xdr:col>
                    <xdr:colOff>1539240</xdr:colOff>
                    <xdr:row>15</xdr:row>
                    <xdr:rowOff>53340</xdr:rowOff>
                  </from>
                  <to>
                    <xdr:col>4</xdr:col>
                    <xdr:colOff>2438400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30" name="Кнопка: в word">
              <controlPr defaultSize="0" autoFill="0" autoPict="0" macro="[0]!wordExportButton_Click">
                <anchor>
                  <from>
                    <xdr:col>4</xdr:col>
                    <xdr:colOff>541020</xdr:colOff>
                    <xdr:row>15</xdr:row>
                    <xdr:rowOff>53340</xdr:rowOff>
                  </from>
                  <to>
                    <xdr:col>4</xdr:col>
                    <xdr:colOff>1440180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31" name="Окно группы: Экспортировать">
              <controlPr defaultSize="0" autoFill="0" autoPict="0">
                <anchor>
                  <from>
                    <xdr:col>1</xdr:col>
                    <xdr:colOff>236220</xdr:colOff>
                    <xdr:row>14</xdr:row>
                    <xdr:rowOff>137160</xdr:rowOff>
                  </from>
                  <to>
                    <xdr:col>4</xdr:col>
                    <xdr:colOff>2552700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32"/>
  <sheetViews>
    <sheetView workbookViewId="0">
      <selection activeCell="A3" sqref="A3"/>
    </sheetView>
  </sheetViews>
  <sheetFormatPr defaultRowHeight="14.4" x14ac:dyDescent="0.3"/>
  <cols>
    <col min="1" max="1" width="86.33203125" style="73" customWidth="1"/>
  </cols>
  <sheetData>
    <row r="1" spans="1:1" x14ac:dyDescent="0.3">
      <c r="A1" s="75" t="s">
        <v>178</v>
      </c>
    </row>
    <row r="2" spans="1:1" x14ac:dyDescent="0.3">
      <c r="A2" s="74" t="s">
        <v>164</v>
      </c>
    </row>
    <row r="3" spans="1:1" ht="86.4" x14ac:dyDescent="0.3">
      <c r="A3" s="73" t="s">
        <v>214</v>
      </c>
    </row>
    <row r="6" spans="1:1" x14ac:dyDescent="0.3">
      <c r="A6" s="74" t="s">
        <v>163</v>
      </c>
    </row>
    <row r="13" spans="1:1" x14ac:dyDescent="0.3">
      <c r="A13" s="75" t="s">
        <v>178</v>
      </c>
    </row>
    <row r="14" spans="1:1" x14ac:dyDescent="0.3">
      <c r="A14" s="74" t="s">
        <v>164</v>
      </c>
    </row>
    <row r="15" spans="1:1" ht="28.8" x14ac:dyDescent="0.3">
      <c r="A15" s="73" t="s">
        <v>180</v>
      </c>
    </row>
    <row r="16" spans="1:1" ht="28.8" x14ac:dyDescent="0.3">
      <c r="A16" s="73" t="s">
        <v>211</v>
      </c>
    </row>
    <row r="17" spans="1:1" x14ac:dyDescent="0.3">
      <c r="A17" s="73" t="s">
        <v>191</v>
      </c>
    </row>
    <row r="18" spans="1:1" x14ac:dyDescent="0.3">
      <c r="A18" s="74" t="s">
        <v>163</v>
      </c>
    </row>
    <row r="19" spans="1:1" x14ac:dyDescent="0.3">
      <c r="A19" s="73" t="s">
        <v>177</v>
      </c>
    </row>
    <row r="20" spans="1:1" x14ac:dyDescent="0.3">
      <c r="A20" s="73" t="s">
        <v>192</v>
      </c>
    </row>
    <row r="21" spans="1:1" x14ac:dyDescent="0.3">
      <c r="A21" s="74" t="s">
        <v>193</v>
      </c>
    </row>
    <row r="22" spans="1:1" ht="28.8" x14ac:dyDescent="0.3">
      <c r="A22" s="73" t="s">
        <v>194</v>
      </c>
    </row>
    <row r="23" spans="1:1" ht="43.2" x14ac:dyDescent="0.3">
      <c r="A23" s="73" t="s">
        <v>212</v>
      </c>
    </row>
    <row r="24" spans="1:1" x14ac:dyDescent="0.3">
      <c r="A24" s="75" t="s">
        <v>155</v>
      </c>
    </row>
    <row r="25" spans="1:1" x14ac:dyDescent="0.3">
      <c r="A25" s="74" t="s">
        <v>164</v>
      </c>
    </row>
    <row r="26" spans="1:1" ht="28.8" x14ac:dyDescent="0.3">
      <c r="A26" s="73" t="s">
        <v>213</v>
      </c>
    </row>
    <row r="27" spans="1:1" ht="28.8" x14ac:dyDescent="0.3">
      <c r="A27" s="73" t="s">
        <v>176</v>
      </c>
    </row>
    <row r="28" spans="1:1" x14ac:dyDescent="0.3">
      <c r="A28" s="74" t="s">
        <v>163</v>
      </c>
    </row>
    <row r="29" spans="1:1" x14ac:dyDescent="0.3">
      <c r="A29" s="73" t="s">
        <v>159</v>
      </c>
    </row>
    <row r="30" spans="1:1" x14ac:dyDescent="0.3">
      <c r="A30" s="73" t="s">
        <v>165</v>
      </c>
    </row>
    <row r="31" spans="1:1" x14ac:dyDescent="0.3">
      <c r="A31" s="73" t="s">
        <v>157</v>
      </c>
    </row>
    <row r="32" spans="1:1" x14ac:dyDescent="0.3">
      <c r="A32" s="73" t="s">
        <v>156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6BFC3D-D27D-49FD-8153-963B06C3F3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39</vt:i4>
      </vt:variant>
    </vt:vector>
  </HeadingPairs>
  <TitlesOfParts>
    <vt:vector size="44" baseType="lpstr">
      <vt:lpstr>Служебный</vt:lpstr>
      <vt:lpstr>Лист согласования</vt:lpstr>
      <vt:lpstr>Расчёт закупки</vt:lpstr>
      <vt:lpstr>Расчёт продажи</vt:lpstr>
      <vt:lpstr>WHAT'S NEW</vt:lpstr>
      <vt:lpstr>GPL</vt:lpstr>
      <vt:lpstr>валюта</vt:lpstr>
      <vt:lpstr>валюта_кп</vt:lpstr>
      <vt:lpstr>валюта_расчёта</vt:lpstr>
      <vt:lpstr>вес</vt:lpstr>
      <vt:lpstr>включить_НДС</vt:lpstr>
      <vt:lpstr>включить_транспортные_расходы</vt:lpstr>
      <vt:lpstr>выручка</vt:lpstr>
      <vt:lpstr>дата_текущего_курса</vt:lpstr>
      <vt:lpstr>динамика_курса_EUR</vt:lpstr>
      <vt:lpstr>динамика_курса_USD</vt:lpstr>
      <vt:lpstr>ед_изм</vt:lpstr>
      <vt:lpstr>источник</vt:lpstr>
      <vt:lpstr>контрагент</vt:lpstr>
      <vt:lpstr>курс_EUR_расчётный</vt:lpstr>
      <vt:lpstr>курс_EUR_ЦБ</vt:lpstr>
      <vt:lpstr>курс_USD_расчётный</vt:lpstr>
      <vt:lpstr>курс_USD_ЦБ</vt:lpstr>
      <vt:lpstr>менеджеры</vt:lpstr>
      <vt:lpstr>менеджеры_должность</vt:lpstr>
      <vt:lpstr>НДС</vt:lpstr>
      <vt:lpstr>обеспечение</vt:lpstr>
      <vt:lpstr>обеспечение_область</vt:lpstr>
      <vt:lpstr>объём</vt:lpstr>
      <vt:lpstr>отдел_закупок</vt:lpstr>
      <vt:lpstr>прибыль</vt:lpstr>
      <vt:lpstr>проектный_менеджер</vt:lpstr>
      <vt:lpstr>размер_НДС</vt:lpstr>
      <vt:lpstr>расчёт_курса</vt:lpstr>
      <vt:lpstr>расчёт_НДС</vt:lpstr>
      <vt:lpstr>себестоимость</vt:lpstr>
      <vt:lpstr>служ_колонки</vt:lpstr>
      <vt:lpstr>способы_проведения_тендеров</vt:lpstr>
      <vt:lpstr>стоимость_доставки</vt:lpstr>
      <vt:lpstr>тендер</vt:lpstr>
      <vt:lpstr>тендер_область</vt:lpstr>
      <vt:lpstr>тип_доставки</vt:lpstr>
      <vt:lpstr>условия_выполнения</vt:lpstr>
      <vt:lpstr>условия_оплаты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Василий Ковальчук</dc:creator>
  <cp:lastModifiedBy>Василий Ковальчук</cp:lastModifiedBy>
  <cp:lastPrinted>2017-08-20T23:47:18Z</cp:lastPrinted>
  <dcterms:created xsi:type="dcterms:W3CDTF">2006-09-16T00:00:00Z</dcterms:created>
  <dcterms:modified xsi:type="dcterms:W3CDTF">2017-08-27T22:45:36Z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