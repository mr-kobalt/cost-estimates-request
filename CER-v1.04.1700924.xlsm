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E:\Desktop\Google Drive\Work\4by4\3. Info\CER\"/>
    </mc:Choice>
  </mc:AlternateContent>
  <bookViews>
    <workbookView xWindow="0" yWindow="0" windowWidth="28800" windowHeight="12300" tabRatio="822" firstSheet="1" activeTab="3"/>
  </bookViews>
  <sheets>
    <sheet name="Служебный" sheetId="5" state="hidden" r:id="rId1"/>
    <sheet name="WHAT'S NEW" sheetId="11" r:id="rId2"/>
    <sheet name="Лист согласования" sheetId="10" r:id="rId3"/>
    <sheet name="Внутренняя спецификация" sheetId="4" r:id="rId4"/>
  </sheets>
  <functionGroups builtInGroupCount="18"/>
  <definedNames>
    <definedName name="_xlnm._FilterDatabase" localSheetId="3" hidden="1">'Внутренняя спецификация'!$A$16:$AF$22</definedName>
    <definedName name="GPL">Служебный!$B$19</definedName>
    <definedName name="без_НДС">Служебный!$E$3:$E$4</definedName>
    <definedName name="валюта">Служебный!$A$2:$A$4</definedName>
    <definedName name="валюта_кп">Служебный!$I$2:$I$4</definedName>
    <definedName name="валюта_продажи">'Внутренняя спецификация'!$E$4</definedName>
    <definedName name="вес">Расчёт[[#Totals],[30
Всего]]</definedName>
    <definedName name="включить_НДС">'Внутренняя спецификация'!$E$5</definedName>
    <definedName name="включить_транспортные_расходы">'Внутренняя спецификация'!$E$6</definedName>
    <definedName name="выручка">Служебный!$B$14</definedName>
    <definedName name="дата_текущего_курса">'Внутренняя спецификация'!$G$9</definedName>
    <definedName name="динамика_курса_EUR">Служебный!$O$2:$O$11</definedName>
    <definedName name="динамика_курса_USD">Служебный!$N$2:$N$11</definedName>
    <definedName name="ед_изм">Служебный!$L$2:$L$9</definedName>
    <definedName name="источник">Служебный!$K$2:$K$3</definedName>
    <definedName name="контрагент">'Внутренняя спецификация'!$C$4</definedName>
    <definedName name="курс_EUR_расчётный">'Внутренняя спецификация'!$H$6</definedName>
    <definedName name="курс_EUR_ЦБ">'Внутренняя спецификация'!$H$11</definedName>
    <definedName name="курс_USD_расчётный">'Внутренняя спецификация'!$H$5</definedName>
    <definedName name="курс_USD_ЦБ">'Внутренняя спецификация'!$H$10</definedName>
    <definedName name="маржа">Служебный!$B$18</definedName>
    <definedName name="менеджеры">Служебный!$P$2:$P$15</definedName>
    <definedName name="менеджеры_должность">Служебный!$Q$2:$Q$15</definedName>
    <definedName name="НДС">Служебный!$E$2:$E$4</definedName>
    <definedName name="обеспечение">'Лист согласования'!$G$63</definedName>
    <definedName name="обеспечение_область">'Лист согласования'!$A$62:$N$68</definedName>
    <definedName name="объём">Расчёт[[#Totals],[32
Всего]]</definedName>
    <definedName name="оглавление">REPLACE(GET.WORKBOOK(1),1,FIND("]",GET.WORKBOOK(1)),"")</definedName>
    <definedName name="отдел_закупок">Служебный!$S$2:$S$3</definedName>
    <definedName name="прибыль">Служебный!$J$2:$J$3</definedName>
    <definedName name="проектный_менеджер">'Лист согласования'!$I$73</definedName>
    <definedName name="размер_НДС">Служебный!$B$15</definedName>
    <definedName name="размер_НДС_закупки">Служебный!$B$17</definedName>
    <definedName name="расчёт_курса">Служебный!$B$2:$D$4</definedName>
    <definedName name="расчёт_НДС">Служебный!$F$2:$H$4</definedName>
    <definedName name="с_НДС">Служебный!$E$2,Служебный!$E$4</definedName>
    <definedName name="себестоимость">Служебный!$B$16</definedName>
    <definedName name="способы_проведения_тендеров">Служебный!$R$2:$R$11</definedName>
    <definedName name="Срез_2_Производитель">#N/A</definedName>
    <definedName name="стоимость_доставки">Доставка[[#Totals],[Цена, руб. с НДС]]</definedName>
    <definedName name="тендер">'Лист согласования'!$E$48</definedName>
    <definedName name="тендер_область">'Лист согласования'!$A$47:$N$60</definedName>
    <definedName name="тип_доставки">Служебный!$M$2:$M$5</definedName>
    <definedName name="условия_выполнения">'Лист согласования'!$C$31:$M$33</definedName>
    <definedName name="условия_оплаты">'Лист согласования'!$C$20:$M$22</definedName>
  </definedNames>
  <calcPr calcId="162913" refMode="R1C1"/>
  <fileRecoveryPr autoRecover="0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</x15:slicerCaches>
    </ext>
  </extLst>
</workbook>
</file>

<file path=xl/calcChain.xml><?xml version="1.0" encoding="utf-8"?>
<calcChain xmlns="http://schemas.openxmlformats.org/spreadsheetml/2006/main">
  <c r="AF17" i="4" l="1"/>
  <c r="AF18" i="4"/>
  <c r="AF19" i="4"/>
  <c r="AF20" i="4"/>
  <c r="AF21" i="4"/>
  <c r="AF22" i="4"/>
  <c r="AD17" i="4"/>
  <c r="AD18" i="4"/>
  <c r="AD19" i="4"/>
  <c r="AD20" i="4"/>
  <c r="AD21" i="4"/>
  <c r="AD22" i="4"/>
  <c r="W17" i="4"/>
  <c r="Y17" i="4" s="1"/>
  <c r="W18" i="4"/>
  <c r="Y18" i="4" s="1"/>
  <c r="W19" i="4"/>
  <c r="Y19" i="4" s="1"/>
  <c r="W20" i="4"/>
  <c r="Y20" i="4" s="1"/>
  <c r="W21" i="4"/>
  <c r="Y21" i="4" s="1"/>
  <c r="W22" i="4"/>
  <c r="Y22" i="4" s="1"/>
  <c r="Q17" i="4"/>
  <c r="S17" i="4" s="1"/>
  <c r="Q18" i="4"/>
  <c r="S18" i="4" s="1"/>
  <c r="Q19" i="4"/>
  <c r="S19" i="4" s="1"/>
  <c r="Q20" i="4"/>
  <c r="S20" i="4" s="1"/>
  <c r="Q21" i="4"/>
  <c r="S21" i="4" s="1"/>
  <c r="Q22" i="4"/>
  <c r="S22" i="4" s="1"/>
  <c r="H17" i="4"/>
  <c r="H18" i="4"/>
  <c r="H19" i="4"/>
  <c r="H20" i="4"/>
  <c r="I20" i="4" s="1"/>
  <c r="H21" i="4"/>
  <c r="H22" i="4"/>
  <c r="AH20" i="4" l="1"/>
  <c r="T20" i="4"/>
  <c r="AH19" i="4"/>
  <c r="T19" i="4"/>
  <c r="AH22" i="4"/>
  <c r="T22" i="4"/>
  <c r="AH18" i="4"/>
  <c r="T18" i="4"/>
  <c r="AH21" i="4"/>
  <c r="T21" i="4"/>
  <c r="AH17" i="4"/>
  <c r="T17" i="4"/>
  <c r="I19" i="4"/>
  <c r="I22" i="4"/>
  <c r="I18" i="4"/>
  <c r="I21" i="4"/>
  <c r="I17" i="4"/>
  <c r="AH15" i="4" l="1"/>
  <c r="S15" i="4" l="1"/>
  <c r="Y15" i="4"/>
  <c r="N15" i="4" l="1"/>
  <c r="N2" i="5" l="1" a="1"/>
  <c r="N2" i="5" s="1"/>
  <c r="N5" i="5" l="1"/>
  <c r="N4" i="5"/>
  <c r="N11" i="5"/>
  <c r="N7" i="5"/>
  <c r="N3" i="5"/>
  <c r="N9" i="5"/>
  <c r="N8" i="5"/>
  <c r="N10" i="5"/>
  <c r="N6" i="5"/>
  <c r="O2" i="5" l="1" a="1"/>
  <c r="O2" i="5" s="1"/>
  <c r="O8" i="5" l="1"/>
  <c r="O4" i="5"/>
  <c r="O11" i="5"/>
  <c r="O7" i="5"/>
  <c r="O3" i="5"/>
  <c r="O9" i="5"/>
  <c r="O5" i="5"/>
  <c r="O10" i="5"/>
  <c r="O6" i="5"/>
  <c r="B19" i="5" l="1"/>
  <c r="Q23" i="4"/>
  <c r="H14" i="4" l="1"/>
  <c r="I14" i="4"/>
  <c r="G14" i="4"/>
  <c r="D6" i="10" l="1"/>
  <c r="F12" i="10" l="1"/>
  <c r="AD23" i="4" l="1"/>
  <c r="AF23" i="4"/>
  <c r="D3" i="5" l="1"/>
  <c r="C4" i="5"/>
  <c r="B3" i="5"/>
  <c r="C2" i="5"/>
  <c r="F3" i="5"/>
  <c r="D2" i="5"/>
  <c r="B4" i="5"/>
  <c r="D1" i="5"/>
  <c r="C1" i="5"/>
  <c r="H1" i="5"/>
  <c r="G1" i="5"/>
  <c r="F1" i="5"/>
  <c r="B1" i="5"/>
  <c r="G30" i="4" l="1"/>
  <c r="S23" i="4" l="1"/>
  <c r="B16" i="5"/>
  <c r="Y23" i="4"/>
  <c r="F28" i="4"/>
  <c r="F29" i="4"/>
  <c r="E28" i="4"/>
  <c r="E29" i="4"/>
  <c r="E27" i="4"/>
  <c r="F27" i="4"/>
  <c r="N21" i="4" l="1"/>
  <c r="N17" i="4"/>
  <c r="T23" i="4"/>
  <c r="AH23" i="4"/>
  <c r="B17" i="5"/>
  <c r="F30" i="4"/>
  <c r="E30" i="4"/>
  <c r="N19" i="4" l="1"/>
  <c r="N18" i="4"/>
  <c r="G17" i="4"/>
  <c r="N22" i="4"/>
  <c r="N20" i="4"/>
  <c r="G19" i="4"/>
  <c r="G18" i="4"/>
  <c r="G20" i="4"/>
  <c r="G21" i="4"/>
  <c r="G22" i="4"/>
  <c r="H23" i="4"/>
  <c r="B14" i="5"/>
  <c r="B18" i="5" l="1"/>
  <c r="F14" i="10" s="1"/>
  <c r="N23" i="4"/>
  <c r="M23" i="4" s="1"/>
  <c r="I23" i="4"/>
  <c r="B15" i="5"/>
  <c r="C12" i="10" s="1"/>
  <c r="C14" i="10" l="1"/>
</calcChain>
</file>

<file path=xl/comments1.xml><?xml version="1.0" encoding="utf-8"?>
<comments xmlns="http://schemas.openxmlformats.org/spreadsheetml/2006/main">
  <authors>
    <author>Василий Ковальчук</author>
  </authors>
  <commentList>
    <comment ref="E1" authorId="0" shapeId="0">
      <text>
        <r>
          <rPr>
            <sz val="9"/>
            <color indexed="81"/>
            <rFont val="Tahoma"/>
            <family val="2"/>
            <charset val="204"/>
          </rPr>
          <t>договор или спецификация</t>
        </r>
      </text>
    </comment>
    <comment ref="L4" authorId="0" shapeId="0">
      <text>
        <r>
          <rPr>
            <sz val="9"/>
            <color indexed="81"/>
            <rFont val="Tahoma"/>
            <family val="2"/>
            <charset val="204"/>
          </rPr>
          <t>Номер заказа в 1С</t>
        </r>
      </text>
    </comment>
    <comment ref="D6" authorId="0" shapeId="0">
      <text>
        <r>
          <rPr>
            <sz val="9"/>
            <color indexed="81"/>
            <rFont val="Tahoma"/>
            <family val="2"/>
            <charset val="204"/>
          </rPr>
          <t>Заполняется автоматически на основании листа "Расчёт закупки"</t>
        </r>
      </text>
    </comment>
    <comment ref="A8" authorId="0" shapeId="0">
      <text>
        <r>
          <rPr>
            <sz val="9"/>
            <color indexed="81"/>
            <rFont val="Tahoma"/>
            <family val="2"/>
            <charset val="204"/>
          </rPr>
          <t>Счёт, рамочный договор, договор подряда, договор услуг, NDA и т.д.)</t>
        </r>
      </text>
    </comment>
    <comment ref="C12" authorId="0" shapeId="0">
      <text>
        <r>
          <rPr>
            <sz val="9"/>
            <color indexed="81"/>
            <rFont val="Tahoma"/>
            <family val="2"/>
            <charset val="204"/>
          </rPr>
          <t>Заполняется автоматически на основании листа "Расчёт продажи"</t>
        </r>
      </text>
    </comment>
    <comment ref="C14" authorId="0" shapeId="0">
      <text>
        <r>
          <rPr>
            <sz val="9"/>
            <color indexed="81"/>
            <rFont val="Tahoma"/>
            <family val="2"/>
            <charset val="204"/>
          </rPr>
          <t>Заполняется автоматически на основании листов "Расчёт продажи" и "Расчёт закупки"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в месяцах</t>
        </r>
      </text>
    </comment>
    <comment ref="K41" authorId="0" shapeId="0">
      <text>
        <r>
          <rPr>
            <sz val="9"/>
            <color indexed="81"/>
            <rFont val="Tahoma"/>
            <family val="2"/>
            <charset val="204"/>
          </rPr>
          <t>в днях</t>
        </r>
      </text>
    </comment>
    <comment ref="E48" authorId="0" shapeId="0">
      <text>
        <r>
          <rPr>
            <sz val="9"/>
            <color indexed="81"/>
            <rFont val="Tahoma"/>
            <family val="2"/>
            <charset val="204"/>
          </rPr>
          <t>для раскрытия области выберете "да"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для раскрытия области выберете "да"</t>
        </r>
      </text>
    </comment>
  </commentList>
</comments>
</file>

<file path=xl/comments2.xml><?xml version="1.0" encoding="utf-8"?>
<comments xmlns="http://schemas.openxmlformats.org/spreadsheetml/2006/main">
  <authors>
    <author>Василий Ковальчук</author>
  </authors>
  <commentList>
    <comment ref="I1" authorId="0" shapeId="0">
      <text>
        <r>
          <rPr>
            <sz val="9"/>
            <color indexed="81"/>
            <rFont val="Tahoma"/>
            <family val="2"/>
            <charset val="204"/>
          </rPr>
          <t>Нажми на "+", чтобы развернуть расчёт прибыли</t>
        </r>
      </text>
    </comment>
    <comment ref="N2" authorId="0" shapeId="0">
      <text>
        <r>
          <rPr>
            <sz val="9"/>
            <color indexed="81"/>
            <rFont val="Tahoma"/>
            <family val="2"/>
            <charset val="204"/>
          </rPr>
          <t>Нажми на "+", чтобы развернуть расчёт закупки в GPL</t>
        </r>
      </text>
    </comment>
    <comment ref="D4" authorId="0" shapeId="0">
      <text>
        <r>
          <rPr>
            <sz val="9"/>
            <color indexed="81"/>
            <rFont val="Tahoma"/>
            <family val="2"/>
            <charset val="204"/>
          </rPr>
          <t>Параметр "Валюта продажи" является глобальным для всего расчёта продажи и влияет на пересчёт цен в указанную валюту (столбцы 7-9, 14 и 22 на этом листе); для пересчёта используются значения из таблицы "Расчётный курс". Изменение этого значение также корректирует шапку формируемого КП.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- красная стрелка вниз - занижен по сравнению с текущим курсом ЦБ более чем на 5%
- зелёная стрелка вверх - завышен по сравнению с текущим курсом ЦБ более чем на 5%</t>
        </r>
      </text>
    </comment>
    <comment ref="D5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Параметр "НДС продажи" является глобальным для всего расчёта продажи и влияет на включение НДС в расчёт (столбцы 7-9 и 14 на этом листе). Изменение этого значение корректирует все ячейки столбца "Способ расчёта НДС" (столбец 10), </t>
        </r>
        <r>
          <rPr>
            <b/>
            <sz val="9"/>
            <color indexed="81"/>
            <rFont val="Tahoma"/>
            <family val="2"/>
            <charset val="204"/>
          </rPr>
          <t>кроме ячеек, в которых указано "н/о НДС"</t>
        </r>
        <r>
          <rPr>
            <sz val="9"/>
            <color indexed="81"/>
            <rFont val="Tahoma"/>
            <family val="2"/>
            <charset val="204"/>
          </rPr>
          <t xml:space="preserve">, а также шапку формируемого КП.
Существуют три возможных параметра:
1. "с НДС" - продажа облагается НДС и цена продажи включает НДС 18%. Сумма НДС вычисляется по формуле ЦЕНА_ПРОДАЖИ/1,18*0,18. Исключение составляют те позиции, у которых в столбце "Способ расчёта НДС" (столбец 10) явным образом указано "н/о НДС", а значит НДС будет равен нулю.
2. "без НДС" - продажа облагается НДС, но цена продажи не включает его. Сумма НДС будет вычислена по формуле ЦЕНА_ПРОДАЖИ*0,18. Тем не менее, сумма НДС будет отображена в столбце "НДС продажи" (столбец 9). Исключение составляют те позиции, у которых в столбце "Способ расчёта НДС" (столбец 10) явным образом указано "н/о НДС", а значит НДС будет равен нулю.
3. "н/о НДС" - продажа не облагается НДС. Если выбран этот вариант, то в КП допускается включать только права на использование ПО, которые не облагаются НДС.
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попытке продать товар, закупленный с НДС, как права, т.е. не облагаемый НДС, соответствующая ячейка в столбце 10 будет выделена красным</t>
        </r>
      </text>
    </comment>
    <comment ref="D6" authorId="0" shapeId="0">
      <text>
        <r>
          <rPr>
            <sz val="9"/>
            <color indexed="81"/>
            <rFont val="Tahoma"/>
            <family val="2"/>
            <charset val="204"/>
          </rPr>
          <t>Включать ли транспортные расходы в состав расчёта продажи (КП)? Величина расходов считается равной сумме доставки из таблицы доставки (см. ниже).
Эта сумма равномерно распределяется между позициями, включаемыми в расчёт продажи, пропорционально доле цены закупки одной позиции в себестоимости товара, и к ней добавляется указанная к товару маржа/наценка</t>
        </r>
      </text>
    </comment>
    <comment ref="G9" authorId="0" shapeId="0">
      <text>
        <r>
          <rPr>
            <sz val="9"/>
            <color indexed="81"/>
            <rFont val="Tahoma"/>
            <family val="2"/>
            <charset val="204"/>
          </rPr>
          <t>Курс автоматически обновляется при открытии книги</t>
        </r>
      </text>
    </comment>
    <comment ref="A13" authorId="0" shapeId="0">
      <text>
        <r>
          <rPr>
            <sz val="9"/>
            <color theme="1"/>
            <rFont val="Tahoma"/>
            <family val="2"/>
            <charset val="204"/>
          </rPr>
          <t xml:space="preserve">Номер индекса - основной инструмент в подготовке КП на листе "Расчёт продажи". Все строки с товарами без этого индекса игнорируются. Присваивать индексы следует руководствуюсь следующими правилами:
1. Товар без индекса не только не попадает в расчёт продажи, но также не учитывается в сумме входа (ячейка </t>
        </r>
        <r>
          <rPr>
            <i/>
            <u/>
            <sz val="9"/>
            <color theme="1"/>
            <rFont val="Tahoma"/>
            <family val="2"/>
            <charset val="204"/>
          </rPr>
          <t>себестоимость</t>
        </r>
        <r>
          <rPr>
            <sz val="9"/>
            <color theme="1"/>
            <rFont val="Tahoma"/>
            <family val="2"/>
            <charset val="204"/>
          </rPr>
          <t>, колонка 11) и сумма GPL (колонка 8).
2. Индексы корректируются - любая последовательность нецифровых символов между числами заменяется на точку, все нецифровые символы в начале и конце удаляются (например, "</t>
        </r>
        <r>
          <rPr>
            <b/>
            <sz val="9"/>
            <color theme="1"/>
            <rFont val="Tahoma"/>
            <family val="2"/>
            <charset val="204"/>
          </rPr>
          <t>xx10xx3x5"</t>
        </r>
        <r>
          <rPr>
            <sz val="9"/>
            <color theme="1"/>
            <rFont val="Tahoma"/>
            <family val="2"/>
            <charset val="204"/>
          </rPr>
          <t xml:space="preserve"> -&gt; "</t>
        </r>
        <r>
          <rPr>
            <b/>
            <sz val="9"/>
            <color theme="1"/>
            <rFont val="Tahoma"/>
            <family val="2"/>
            <charset val="204"/>
          </rPr>
          <t>10.3.5"</t>
        </r>
        <r>
          <rPr>
            <sz val="9"/>
            <color theme="1"/>
            <rFont val="Tahoma"/>
            <family val="2"/>
            <charset val="204"/>
          </rPr>
          <t>). Таким образом индекс разделяется на</t>
        </r>
        <r>
          <rPr>
            <b/>
            <sz val="9"/>
            <color theme="1"/>
            <rFont val="Tahoma"/>
            <family val="2"/>
            <charset val="204"/>
          </rPr>
          <t xml:space="preserve"> группы чисел</t>
        </r>
        <r>
          <rPr>
            <sz val="9"/>
            <color theme="1"/>
            <rFont val="Tahoma"/>
            <family val="2"/>
            <charset val="204"/>
          </rPr>
          <t xml:space="preserve">; максимальное число таких групп в данной версии файла не может превышать трёх.
3. В расчёте продажи исправляется последовательность индексов. Например,
</t>
        </r>
        <r>
          <rPr>
            <b/>
            <sz val="9"/>
            <color theme="1"/>
            <rFont val="Tahoma"/>
            <family val="2"/>
            <charset val="204"/>
          </rPr>
          <t xml:space="preserve">10.3.5            3.1.1
8.1                  1.1
8.0                  1.0
9                </t>
        </r>
        <r>
          <rPr>
            <sz val="9"/>
            <color theme="1"/>
            <rFont val="Tahoma"/>
            <family val="2"/>
            <charset val="204"/>
          </rPr>
          <t>-&gt;</t>
        </r>
        <r>
          <rPr>
            <b/>
            <sz val="9"/>
            <color theme="1"/>
            <rFont val="Tahoma"/>
            <family val="2"/>
            <charset val="204"/>
          </rPr>
          <t xml:space="preserve">  2
10.10.10       3.2.2
10.10.8         3.2.1
9.101             2.1
</t>
        </r>
        <r>
          <rPr>
            <sz val="9"/>
            <color theme="1"/>
            <rFont val="Tahoma"/>
            <family val="2"/>
            <charset val="204"/>
          </rPr>
          <t>4. Одинаковые индексы у товаров не исправляются и не обрабатываются никаким особым образом
5. Товары в расчёте продажи сортируются в соответствии с полученными в п.3 индексами. Отсюда следует, что порядок строк в расчёте закупки не важен - имеют значение только индексы.
6. Если после исправлений, перечисленных в п.2 и 3, найден индекс, состоящий из одной группы чисел ("</t>
        </r>
        <r>
          <rPr>
            <b/>
            <sz val="9"/>
            <color theme="1"/>
            <rFont val="Tahoma"/>
            <family val="2"/>
            <charset val="204"/>
          </rPr>
          <t>2</t>
        </r>
        <r>
          <rPr>
            <sz val="9"/>
            <color theme="1"/>
            <rFont val="Tahoma"/>
            <family val="2"/>
            <charset val="204"/>
          </rPr>
          <t xml:space="preserve">" из примера в п.3), </t>
        </r>
        <r>
          <rPr>
            <b/>
            <sz val="9"/>
            <color theme="1"/>
            <rFont val="Tahoma"/>
            <family val="2"/>
            <charset val="204"/>
          </rPr>
          <t xml:space="preserve">а также </t>
        </r>
        <r>
          <rPr>
            <sz val="9"/>
            <color theme="1"/>
            <rFont val="Tahoma"/>
            <family val="2"/>
            <charset val="204"/>
          </rPr>
          <t>в этой таблице присутствуют другие индексы, состоящие из нескольких групп чисел, но с тем же числом в первой группе ("</t>
        </r>
        <r>
          <rPr>
            <b/>
            <sz val="9"/>
            <color theme="1"/>
            <rFont val="Tahoma"/>
            <family val="2"/>
            <charset val="204"/>
          </rPr>
          <t>2.1</t>
        </r>
        <r>
          <rPr>
            <sz val="9"/>
            <color theme="1"/>
            <rFont val="Tahoma"/>
            <family val="2"/>
            <charset val="204"/>
          </rPr>
          <t>" из примера в п.3), то в расчёте продажи все товары с этими индексами объединяются в подгруппу товаров со своей строкой подытогов. Заголовком такой подгруппы будет выступать наименование товара с индексом, состоящим из одной группы чисел ("</t>
        </r>
        <r>
          <rPr>
            <b/>
            <sz val="9"/>
            <color theme="1"/>
            <rFont val="Tahoma"/>
            <family val="2"/>
            <charset val="204"/>
          </rPr>
          <t>2</t>
        </r>
        <r>
          <rPr>
            <sz val="9"/>
            <color theme="1"/>
            <rFont val="Tahoma"/>
            <family val="2"/>
            <charset val="204"/>
          </rPr>
          <t xml:space="preserve">"). Если у нескольких товаров одинаковый индекс заголовка, то заголовком подгруппы будет считать только товар с одним из них, а другой будет входить эту подгруппу.
6.1. </t>
        </r>
        <r>
          <rPr>
            <b/>
            <sz val="9"/>
            <color theme="1"/>
            <rFont val="Tahoma"/>
            <family val="2"/>
            <charset val="204"/>
          </rPr>
          <t>Если у товара с индексом заголовка введена стоимость, то в расчёте КП она будет игнорироваться, но по-прежнему влиять на себестоимость!</t>
        </r>
        <r>
          <rPr>
            <sz val="9"/>
            <color theme="1"/>
            <rFont val="Tahoma"/>
            <family val="2"/>
            <charset val="204"/>
          </rPr>
          <t xml:space="preserve"> Удаляйте стоимость у заголовков перед формированием расчёта.
7. Если найдено два и более индекса товаров, одна или две из числовых групп которых равны, и последняя числовая группа одного из этих индексов состоит из нулей, то товары с такими индексами объединяются в комплект, а наименование товара с индексом с нулём в последней группе служит для наименования всего комплекта. Например, индексы "</t>
        </r>
        <r>
          <rPr>
            <b/>
            <sz val="9"/>
            <color theme="1"/>
            <rFont val="Tahoma"/>
            <family val="2"/>
            <charset val="204"/>
          </rPr>
          <t>1.0</t>
        </r>
        <r>
          <rPr>
            <sz val="9"/>
            <color theme="1"/>
            <rFont val="Tahoma"/>
            <family val="2"/>
            <charset val="204"/>
          </rPr>
          <t>" и "</t>
        </r>
        <r>
          <rPr>
            <b/>
            <sz val="9"/>
            <color theme="1"/>
            <rFont val="Tahoma"/>
            <family val="2"/>
            <charset val="204"/>
          </rPr>
          <t>1.1</t>
        </r>
        <r>
          <rPr>
            <sz val="9"/>
            <color theme="1"/>
            <rFont val="Tahoma"/>
            <family val="2"/>
            <charset val="204"/>
          </rPr>
          <t xml:space="preserve">" из п.3
7.1. Количество комплектов вычисляется двумя способами:
      - если у товара с индексом наименования комплекта не указано кол-во, то оно вычисляется как Наибольший Общий Делитель от кол-ва всех составных товаров комплекта. Например, если мы делаем комплект из товаров с количествами 6, 9 и 15, то количество комплектов будет равно 3.
      - если у товара с индексом наименования комплекта указано кол-во, то количество комплектов принудительно принимается равным ему.
7.2. </t>
        </r>
        <r>
          <rPr>
            <b/>
            <sz val="9"/>
            <color theme="1"/>
            <rFont val="Tahoma"/>
            <family val="2"/>
            <charset val="204"/>
          </rPr>
          <t>Цена товара с индексом наименования комплекта учитывается в расчёте продажи и расчёте закупки только в  случае принудительного указания количества комплектов, будьте внимательны!</t>
        </r>
        <r>
          <rPr>
            <sz val="9"/>
            <color theme="1"/>
            <rFont val="Tahoma"/>
            <family val="2"/>
            <charset val="204"/>
          </rPr>
          <t xml:space="preserve">
7.3. Наименования товаров в составе комплектов дополняются их количеством в комплекте, которое вычисляется делением соответствующего товара на кол-во комплектов. Если количество комплектов выбрано принудительно, то могут возникнуть нежелательные дроби.
8. Подгруппы товаров и комплекты автоматически объединяются в группы строк Excel, сворачивать и разворачивать которые можно в левой части окна приложения.</t>
        </r>
      </text>
    </comment>
    <comment ref="B13" authorId="0" shapeId="0">
      <text>
        <r>
          <rPr>
            <sz val="9"/>
            <color indexed="81"/>
            <rFont val="Tahoma"/>
            <family val="2"/>
            <charset val="204"/>
          </rPr>
          <t>Переносится в расчёт продажи без изменений</t>
        </r>
      </text>
    </comment>
    <comment ref="C13" authorId="0" shapeId="0">
      <text>
        <r>
          <rPr>
            <sz val="9"/>
            <color indexed="81"/>
            <rFont val="Tahoma"/>
            <family val="2"/>
            <charset val="204"/>
          </rPr>
          <t>Переносится в расчёт продажи без изменений.
Кнопка заменяет кириллические символы на схожие по написанию латинские</t>
        </r>
      </text>
    </comment>
    <comment ref="D13" authorId="0" shapeId="0">
      <text>
        <r>
          <rPr>
            <sz val="9"/>
            <color indexed="81"/>
            <rFont val="Tahoma"/>
            <family val="2"/>
            <charset val="204"/>
          </rPr>
          <t>Наименования товаров, которые должны будут составлять комплект, дополняются их количеством в комплекте. Во всех остальных случаях наименования переносятся в расчёт продажи без изменений.
Подробнее см. в примечании к колонке "№"
Кнопка удалет различные непечатные символы из строки, включая символы новой строки, а также сокращает любую последовательность пробелов до одного.</t>
        </r>
      </text>
    </comment>
    <comment ref="F13" authorId="0" shapeId="0">
      <text>
        <r>
          <rPr>
            <sz val="9"/>
            <color indexed="81"/>
            <rFont val="Tahoma"/>
            <family val="2"/>
            <charset val="204"/>
          </rPr>
          <t xml:space="preserve">Ед.изм. товаров, которые должны будут составлять комплект, заменяются на единую для всего комплекта единицу - компл. Во всех остальных случаях они переносятся в расчёт продажи без изменений.
Подробнее см. в примечании к колонке "№"
</t>
        </r>
      </text>
    </comment>
    <comment ref="G14" authorId="0" shapeId="0">
      <text>
        <r>
          <rPr>
            <sz val="9"/>
            <color indexed="81"/>
            <rFont val="Tahoma"/>
            <family val="2"/>
            <charset val="204"/>
          </rPr>
          <t>Значение в ячейки формируется следующим образом:
1. проверяется источник расчёта прибыли - GPL или вход
1.1. Если GPL, то цена GPL переводится в валюту продажи, потом в зависимости от НДС продажи добавляется или вычитается НДС.
1.2. Если вход, то цена входа (цена закупки) переводится в валюту продажи, потом в зависимости от НДС продажи добавляется или вычитается НДС.
2. к полученной в п.1 цене в валюте продажи и с НДС продажи добавляется маржа или наценка
3. у полученной цене с прибылью добавляются транспортные расходы, которые вычисляются следующим образом:
3.1. если значение "включать транспортные расходы" равно "нет", то транспортные расходы принимаются равными нулю
3.2. если значение "включать транспортные расходы" равно "да", то:
3.2.1. стоимость доставки переводится в валюту продажи
3.2.2. если НДС продажи равно "с НДС" или "н/о НДС", то полученная стоимость доставки в валюте продажи умножается на долю суммы закупки этого товара в себестоимости всех товаров в расчёте
3.2.3. если НДС продажи равно "без НДС", то полученная стоимость доставки в валюте продажи:
- умножается на долю суммы закупки этого товара с НДС в себестоимости всех товаров в расчёте с НДС
- из неё вычитается НДС 18% (делится на 1,18), если товар облагается НДС (если способ расчёта НДС у товара указан как "с НДС" или "без НДС")
4. полученное число округляется до двух знаков</t>
        </r>
      </text>
    </comment>
    <comment ref="H14" authorId="0" shapeId="0">
      <text>
        <r>
          <rPr>
            <sz val="9"/>
            <color indexed="81"/>
            <rFont val="Tahoma"/>
            <family val="2"/>
            <charset val="204"/>
          </rPr>
          <t>Ячейки выделяются красным, а их значение обнуляется, если одновременно соблюдаются два условия:
1. позиция отмечена как подзаголовок, т.е. у неё индекс состоящий из одной числовой группы (например, "</t>
        </r>
        <r>
          <rPr>
            <b/>
            <sz val="9"/>
            <color indexed="81"/>
            <rFont val="Tahoma"/>
            <family val="2"/>
            <charset val="204"/>
          </rPr>
          <t>16</t>
        </r>
        <r>
          <rPr>
            <sz val="9"/>
            <color indexed="81"/>
            <rFont val="Tahoma"/>
            <family val="2"/>
            <charset val="204"/>
          </rPr>
          <t>"), а в расчёте найдены другие позиции с индексами входящими в эту группу (например, "</t>
        </r>
        <r>
          <rPr>
            <b/>
            <sz val="9"/>
            <color indexed="81"/>
            <rFont val="Tahoma"/>
            <family val="2"/>
            <charset val="204"/>
          </rPr>
          <t>16.1</t>
        </r>
        <r>
          <rPr>
            <sz val="9"/>
            <color indexed="81"/>
            <rFont val="Tahoma"/>
            <family val="2"/>
            <charset val="204"/>
          </rPr>
          <t>", "</t>
        </r>
        <r>
          <rPr>
            <b/>
            <sz val="9"/>
            <color indexed="81"/>
            <rFont val="Tahoma"/>
            <family val="2"/>
            <charset val="204"/>
          </rPr>
          <t>16.0</t>
        </r>
        <r>
          <rPr>
            <sz val="9"/>
            <color indexed="81"/>
            <rFont val="Tahoma"/>
            <family val="2"/>
            <charset val="204"/>
          </rPr>
          <t>", "</t>
        </r>
        <r>
          <rPr>
            <b/>
            <sz val="9"/>
            <color indexed="81"/>
            <rFont val="Tahoma"/>
            <family val="2"/>
            <charset val="204"/>
          </rPr>
          <t>16.5.3</t>
        </r>
        <r>
          <rPr>
            <sz val="9"/>
            <color indexed="81"/>
            <rFont val="Tahoma"/>
            <family val="2"/>
            <charset val="204"/>
          </rPr>
          <t>")
2. у позиции найдена цена закупки или цена GPL (в зависимости от того, каким способом происходит расчёт продажи)
Так как у позиций-заголовков нет цены, то без обнуления возник бы риск продать себе в минус.
Суммы строк без индексов обнуляется (но не выделяются красным), т.к. они не включаются в КП</t>
        </r>
      </text>
    </comment>
    <comment ref="J14" authorId="0" shapeId="0">
      <text>
        <r>
          <rPr>
            <sz val="9"/>
            <color indexed="81"/>
            <rFont val="Tahoma"/>
            <family val="2"/>
            <charset val="204"/>
          </rPr>
          <t xml:space="preserve">Определяет способ налогообложения и вариант отображения НДС у каждой позиции в КП. 
Существуют три возможных параметра:
1. "с НДС" - продажа облагается НДС и цена продажи включает НДС 18%. Сумма НДС вычисляется по формуле ЦЕНА_ПРОДАЖИ/1,18*0,18. Исключение составляют те позиции, у которых в столбце "Способ расчёта НДС" (столбец 10) явным образом указано "н/о НДС", а значит НДС будет равен нулю.
2. "без НДС" - продажа облагается НДС, но цена продажи не включает его. Сумма НДС будет вычислена по формуле ЦЕНА_ПРОДАЖИ*0,18. Тем не менее, сумма НДС будет отображена в столбце "НДС продажи" (столбец 9). Исключение составляют те позиции, у которых в столбце "Способ расчёта НДС" (столбец 10) явным образом указано "н/о НДС", а значит НДС будет равен нулю.
3. "н/о НДС" - продажа не облагается НДС. Если выбран этот вариант, то в КП допускается включать только права на использование ПО, которые не облагаются НДС.
</t>
        </r>
        <r>
          <rPr>
            <b/>
            <sz val="9"/>
            <color indexed="81"/>
            <rFont val="Tahoma"/>
            <family val="2"/>
            <charset val="204"/>
          </rPr>
          <t>Ячейка выделяется красным в двух случаях: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1. При попытке продать товар, закупленный с НДС, как права, т.е. указав "н/о НДС"
2. Если для строки с индексом наименования комплекта (оканчивающийся на ".0") не указано налогообложение, т.к. оно едино для всего комплекта и должно указываться именно в этой ячейке (все остальные игнорируются)</t>
        </r>
      </text>
    </comment>
    <comment ref="T14" authorId="0" shapeId="0">
      <text>
        <r>
          <rPr>
            <sz val="9"/>
            <color indexed="81"/>
            <rFont val="Tahoma"/>
            <family val="2"/>
            <charset val="204"/>
          </rPr>
          <t>Процент скидки цены закупки от GPL/розницы. Для вычисления используются пересчитанные в валюту продажи значения сумм GPL и закупки (столбцы 19 и 25)</t>
        </r>
      </text>
    </comment>
    <comment ref="M15" authorId="0" shapeId="0">
      <text>
        <r>
          <rPr>
            <sz val="9"/>
            <color indexed="81"/>
            <rFont val="Tahoma"/>
            <family val="2"/>
            <charset val="204"/>
          </rPr>
          <t>Шрифт выделяется красным, если введено отрицательное значение.
Ячейка заливается красным, если введены значения:
1. меньше -100% и указан способ расчёта "наценка"
2. больше 100% и указан способ расчёта "маржа"</t>
        </r>
      </text>
    </comment>
    <comment ref="N15" authorId="0" shapeId="0">
      <text>
        <r>
          <rPr>
            <sz val="9"/>
            <color indexed="81"/>
            <rFont val="Tahoma"/>
            <family val="2"/>
            <charset val="204"/>
          </rPr>
          <t>Абсолютное  значение маржи. В зависимости от значения "НДС продажи" может как включать НДС, так и нет, так и вовсе не облагаться им
Шрифт выделяются красным, если маржа меньше 0%.
В ячейках строится гистограмма значений, причём минимум и максимум гистограммы вычисляется только среди строк с индексами (столбец 1).</t>
        </r>
      </text>
    </comment>
    <comment ref="O15" authorId="0" shapeId="0">
      <text>
        <r>
          <rPr>
            <sz val="9"/>
            <color indexed="81"/>
            <rFont val="Tahoma"/>
            <family val="2"/>
            <charset val="204"/>
          </rPr>
          <t>Отсутствие указания на валюту скрывает значение цен GPL (столбцы 16 и 17), а также обнуляет расчёт цен продажи (столбцы 7, 8, 9 и 14), если источником расчёта выбран GPL (столбец 12)</t>
        </r>
      </text>
    </comment>
    <comment ref="P15" authorId="0" shapeId="0">
      <text>
        <r>
          <rPr>
            <sz val="9"/>
            <color indexed="81"/>
            <rFont val="Tahoma"/>
            <family val="2"/>
            <charset val="204"/>
          </rPr>
          <t xml:space="preserve">Вставляемые значения автоматически корректируются - остаются только цифры и последний десятичный разделитель (точка или запятая), за которым следует хотя бы одно число. Например:
- "1,000 руб." -&gt; "1.0"
- "1,000. руб." -&gt; "1.0"
- "1,000.00 руб." -&gt; "1000.0"
При выделении ячейки с ценой к ней добавляется комментарий с pan и наименованием соответствующей позиции
</t>
        </r>
      </text>
    </comment>
    <comment ref="Q15" authorId="0" shapeId="0">
      <text>
        <r>
          <rPr>
            <sz val="9"/>
            <color indexed="81"/>
            <rFont val="Tahoma"/>
            <family val="2"/>
            <charset val="204"/>
          </rPr>
          <t>Ячейки выделяются красным, а их значение обнуляется, если одновременно соблюдаются два условия:
1. позиция отмечена как подзаголовок, т.е. у неё индекс состоящий из одной числовой группы (например, "16"), а в расчёте найдены другие позиции с индексами входящими в эту группу (например, "16.1", "16.0", "16.5.3")
2. у позиции найдена цена закупки или цена GPL (в зависимости от того, каким способом происходит расчёт продажи)
Суммы строк без индексов обнуляется (но не выделяются красным), т.к. они не включаются в КП</t>
        </r>
      </text>
    </comment>
    <comment ref="R15" authorId="0" shapeId="0">
      <text>
        <r>
          <rPr>
            <sz val="9"/>
            <color indexed="81"/>
            <rFont val="Tahoma"/>
            <family val="2"/>
            <charset val="204"/>
          </rPr>
          <t>Отсутствие указания на НДС закупки обнуляет расчёт суммы GPL (столбец 17), а также столбцы расчёта продажи (7-9, 14)</t>
        </r>
      </text>
    </comment>
    <comment ref="S15" authorId="0" shapeId="0">
      <text>
        <r>
          <rPr>
            <sz val="9"/>
            <color indexed="81"/>
            <rFont val="Tahoma"/>
            <family val="2"/>
            <charset val="204"/>
          </rPr>
          <t>Сумма GPL, но пересчитанная в "Валюту продажи" по расчётному курсу и учитывая указанный в колонке 10 способ расчёта НДС.
Транспортные расходы не добавляются к сумме закупки.</t>
        </r>
      </text>
    </comment>
    <comment ref="U15" authorId="0" shapeId="0">
      <text>
        <r>
          <rPr>
            <sz val="9"/>
            <color indexed="81"/>
            <rFont val="Tahoma"/>
            <family val="2"/>
            <charset val="204"/>
          </rPr>
          <t>Отсутствие указания на валюту скрывает значение цен закупки (столбцы 22-23), а также обнуляет расчёт цен продажи (столбцы 7, 8, 9 и 14), если источником расчёта выбран вход (столбец 12)</t>
        </r>
      </text>
    </comment>
    <comment ref="V15" authorId="0" shapeId="0">
      <text>
        <r>
          <rPr>
            <sz val="9"/>
            <color indexed="81"/>
            <rFont val="Tahoma"/>
            <family val="2"/>
            <charset val="204"/>
          </rPr>
          <t>Вставляемые значения автоматически корректируются - остаются только цифры и последний десятичный разделитель (точка или запятая), за которым следует хотя бы одно число. Например:
- "1,000 руб." -&gt; "1.0"
- "1,000. руб." -&gt; "1.0"
- "1,000.00 руб." -&gt; "1000.0"
При выделении ячейки с ценой к ней добавляется комментарий с p/n и наименованием соответствующей позиции</t>
        </r>
      </text>
    </comment>
    <comment ref="W15" authorId="0" shapeId="0">
      <text>
        <r>
          <rPr>
            <sz val="9"/>
            <color indexed="81"/>
            <rFont val="Tahoma"/>
            <family val="2"/>
            <charset val="204"/>
          </rPr>
          <t>Ячейки выделяются красным, а их значение обнуляется, если одновременно соблюдаются два условия:
1. позиция отмечена как подзаголовок, т.е. у неё индекс состоящий из одной числовой группы (например, "16"), а в расчёте найдены другие позиции с индексами входящими в эту группу (например, "16.1", "16.0", "16.5.3")
2. у позиции найдена цена закупки или цена GPL (в зависимости от того, каким способом происходит расчёт продажи)
Суммы строк без индексов обнуляется (но не выделяются красным), т.к. они не включаются в КП</t>
        </r>
      </text>
    </comment>
    <comment ref="X15" authorId="0" shapeId="0">
      <text>
        <r>
          <rPr>
            <sz val="9"/>
            <color indexed="81"/>
            <rFont val="Tahoma"/>
            <family val="2"/>
            <charset val="204"/>
          </rPr>
          <t>Отсутствие указания на НДС закупки обнуляет расчёт суммы закупки (столбец 23), а также столбцы расчёта продажи (7-9, 14)</t>
        </r>
      </text>
    </comment>
    <comment ref="Y15" authorId="0" shapeId="0">
      <text>
        <r>
          <rPr>
            <sz val="9"/>
            <color indexed="81"/>
            <rFont val="Tahoma"/>
            <family val="2"/>
            <charset val="204"/>
          </rPr>
          <t>Сумма закупки, но пересчитанная в "Валюту продажи" по расчётному курсу и учитывая указанный в колонке 10 способ расчёта НДС.
Транспортные расходы не добавляются к сумме закупки.</t>
        </r>
      </text>
    </comment>
    <comment ref="B23" authorId="0" shapeId="0">
      <text>
        <r>
          <rPr>
            <sz val="9"/>
            <color indexed="81"/>
            <rFont val="Tahoma"/>
            <family val="2"/>
            <charset val="204"/>
          </rPr>
          <t>Добавление строк в таблицу расчёта закупки</t>
        </r>
      </text>
    </comment>
    <comment ref="H23" authorId="0" shapeId="0">
      <text>
        <r>
          <rPr>
            <sz val="9"/>
            <color indexed="81"/>
            <rFont val="Tahoma"/>
            <family val="2"/>
            <charset val="204"/>
          </rPr>
          <t>Суммируются только видимые ячейки.
Эта сумма включает транспортные расходы, если установлено "да" в соответствующем поле сверху</t>
        </r>
      </text>
    </comment>
    <comment ref="I23" authorId="0" shapeId="0">
      <text>
        <r>
          <rPr>
            <sz val="9"/>
            <color indexed="81"/>
            <rFont val="Tahoma"/>
            <family val="2"/>
            <charset val="204"/>
          </rPr>
          <t>Суммируются только видимые ячейки
Эта сумма включает транспортные расходы, если установлено "да" в соответствующем поле сверху</t>
        </r>
      </text>
    </comment>
    <comment ref="M23" authorId="0" shapeId="0">
      <text>
        <r>
          <rPr>
            <sz val="9"/>
            <color indexed="81"/>
            <rFont val="Tahoma"/>
            <family val="2"/>
            <charset val="204"/>
          </rPr>
          <t>Процент маржи (не наценки).
Вычисляется только на основании видимых ячеек.
Если у вас в расчёте товары облагаемые НДС сочетаются с необлагаемыми, то значение маржи будет различным для расчёта "с НДС" и "без НДС". И это не ошибка.
Т.к. к доставке не добавляется маржа/наценка, то значение маржи будет различным для расчёта с включением доставки и без включения.</t>
        </r>
      </text>
    </comment>
    <comment ref="N23" authorId="0" shapeId="0">
      <text>
        <r>
          <rPr>
            <sz val="9"/>
            <color indexed="81"/>
            <rFont val="Tahoma"/>
            <family val="2"/>
            <charset val="204"/>
          </rPr>
          <t>Суммируются только видимые ячейки.
Эта сумма включает транспортные расходы, если установлено "да" в соответствующем поле сверху</t>
        </r>
      </text>
    </comment>
    <comment ref="Q23" authorId="0" shapeId="0">
      <text>
        <r>
          <rPr>
            <sz val="9"/>
            <color indexed="81"/>
            <rFont val="Tahoma"/>
            <family val="2"/>
            <charset val="204"/>
          </rPr>
          <t>Суммируются только видимые строки. Это позволяет отфильтровать таблицу, например, по производителю (с помощью среза ниже) и узнать его сумму GPL.
NB: при суммировании не учитывается валюта GPL</t>
        </r>
      </text>
    </comment>
    <comment ref="S23" authorId="0" shapeId="0">
      <text>
        <r>
          <rPr>
            <sz val="9"/>
            <color indexed="81"/>
            <rFont val="Tahoma"/>
            <family val="2"/>
            <charset val="204"/>
          </rPr>
          <t>Суммируются только видимые ячейки.
Транспортные расходы не добавляются.</t>
        </r>
      </text>
    </comment>
    <comment ref="Y23" authorId="0" shapeId="0">
      <text>
        <r>
          <rPr>
            <sz val="9"/>
            <color indexed="81"/>
            <rFont val="Tahoma"/>
            <family val="2"/>
            <charset val="204"/>
          </rPr>
          <t>Суммируются только видимые ячейки.
Транспортные расходы не добавляются.</t>
        </r>
      </text>
    </comment>
    <comment ref="AD23" authorId="0" shapeId="0">
      <text>
        <r>
          <rPr>
            <sz val="9"/>
            <color indexed="81"/>
            <rFont val="Tahoma"/>
            <family val="2"/>
            <charset val="204"/>
          </rPr>
          <t>суммируются все ячейки</t>
        </r>
      </text>
    </comment>
    <comment ref="AF23" authorId="0" shapeId="0">
      <text>
        <r>
          <rPr>
            <sz val="9"/>
            <color indexed="81"/>
            <rFont val="Tahoma"/>
            <family val="2"/>
            <charset val="204"/>
          </rPr>
          <t>суммируются все ячейки</t>
        </r>
      </text>
    </comment>
    <comment ref="A26" authorId="0" shapeId="0">
      <text>
        <r>
          <rPr>
            <sz val="9"/>
            <color indexed="81"/>
            <rFont val="Tahoma"/>
            <family val="2"/>
            <charset val="204"/>
          </rPr>
          <t xml:space="preserve">Индикатор включения соответствующей строки расчёта доставки в расчёт продажи. Если глобальный индикатор </t>
        </r>
        <r>
          <rPr>
            <i/>
            <u/>
            <sz val="9"/>
            <color indexed="81"/>
            <rFont val="Tahoma"/>
            <family val="2"/>
            <charset val="204"/>
          </rPr>
          <t>включить транспортные расходы</t>
        </r>
        <r>
          <rPr>
            <sz val="9"/>
            <color indexed="81"/>
            <rFont val="Tahoma"/>
            <family val="2"/>
            <charset val="204"/>
          </rPr>
          <t xml:space="preserve"> установлен в значении "нет", то стоимость доставки вообще не включается в расчёт продажи.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Цена вносится только в рублях с НДС.
Стоимость доставки распределяется между товарами пропорционально их себестоимости с НДС. Если у товара нет себестоимости (например, расчёт ведётся от GPL), то к нему не будет добавлена доставка. Доставка включается в расчёт как есть - к ней не добавляется маржа/наценка.</t>
        </r>
      </text>
    </comment>
    <comment ref="G30" authorId="0" shapeId="0">
      <text>
        <r>
          <rPr>
            <sz val="9"/>
            <color indexed="81"/>
            <rFont val="Tahoma"/>
            <family val="2"/>
            <charset val="204"/>
          </rPr>
          <t>Суммируются только цены за доставку с индикатором "Вкл. в расчёт" в первой колонке таблицы</t>
        </r>
      </text>
    </comment>
  </commentList>
</comments>
</file>

<file path=xl/connections.xml><?xml version="1.0" encoding="utf-8"?>
<connections xmlns="http://schemas.openxmlformats.org/spreadsheetml/2006/main">
  <connection id="1" name="XML_daily_eng" type="4" refreshedVersion="0" background="1">
    <webPr xml="1" sourceData="1" url="http://www.cbr.ru/scripts/XML_daily_eng.asp" htmlTables="1" htmlFormat="all"/>
  </connection>
  <connection id="2" name="XML_daily_eng.asp" type="4" refreshedVersion="0" background="1">
    <webPr xml="1" sourceData="1" url="D:\Downloads\Temp\XML_daily_eng.asp.xml" htmlTables="1" htmlFormat="all"/>
  </connection>
</connections>
</file>

<file path=xl/sharedStrings.xml><?xml version="1.0" encoding="utf-8"?>
<sst xmlns="http://schemas.openxmlformats.org/spreadsheetml/2006/main" count="290" uniqueCount="255">
  <si>
    <t>Курс $</t>
  </si>
  <si>
    <t>Курс €</t>
  </si>
  <si>
    <t>№</t>
  </si>
  <si>
    <t>Производитель</t>
  </si>
  <si>
    <t>P/N</t>
  </si>
  <si>
    <t>Наименование</t>
  </si>
  <si>
    <t>Кол-во</t>
  </si>
  <si>
    <t>Поставщик</t>
  </si>
  <si>
    <t>Примечание</t>
  </si>
  <si>
    <t>Итого:</t>
  </si>
  <si>
    <t>ВНУТРЕННЯЯ СПЕЦИФИКАЦИЯ</t>
  </si>
  <si>
    <t>Адрес доставки</t>
  </si>
  <si>
    <t>Срок доставки</t>
  </si>
  <si>
    <t>Транспортная компания</t>
  </si>
  <si>
    <t>Вес, в кг</t>
  </si>
  <si>
    <t>Единицы</t>
  </si>
  <si>
    <t>Всего</t>
  </si>
  <si>
    <t>EUR</t>
  </si>
  <si>
    <t>Расчетный курс</t>
  </si>
  <si>
    <t>RUR</t>
  </si>
  <si>
    <t>USD</t>
  </si>
  <si>
    <t>Сумма</t>
  </si>
  <si>
    <t>Валюта GPL</t>
  </si>
  <si>
    <t>шт</t>
  </si>
  <si>
    <t>с НДС</t>
  </si>
  <si>
    <t>без НДС</t>
  </si>
  <si>
    <t>н/о НДС</t>
  </si>
  <si>
    <t>валюта</t>
  </si>
  <si>
    <t>НДС</t>
  </si>
  <si>
    <t>ед_изм</t>
  </si>
  <si>
    <t>чел. ч</t>
  </si>
  <si>
    <t>чел. дн</t>
  </si>
  <si>
    <t>чел</t>
  </si>
  <si>
    <t>упак</t>
  </si>
  <si>
    <t>м2</t>
  </si>
  <si>
    <t>м</t>
  </si>
  <si>
    <t>компл</t>
  </si>
  <si>
    <t>3
p/n</t>
  </si>
  <si>
    <t>2
Производитель</t>
  </si>
  <si>
    <t>1
№</t>
  </si>
  <si>
    <t>5
Кол-во</t>
  </si>
  <si>
    <t>6
Ед.изм.</t>
  </si>
  <si>
    <t>4 
Наименование</t>
  </si>
  <si>
    <t>Дата и время рассмотрения заявок:</t>
  </si>
  <si>
    <t>Дата и время окончания подачи заявок:</t>
  </si>
  <si>
    <t>Дата и время подведения итогов:</t>
  </si>
  <si>
    <t>Общий вес, кг</t>
  </si>
  <si>
    <t>Способ доставки</t>
  </si>
  <si>
    <t>авиа</t>
  </si>
  <si>
    <t>авто</t>
  </si>
  <si>
    <t>ж/д</t>
  </si>
  <si>
    <t>тип_доставки</t>
  </si>
  <si>
    <t>Цена, руб. с НДС</t>
  </si>
  <si>
    <t>Дата и время проведение торгов:</t>
  </si>
  <si>
    <t>динамика_курса_USD</t>
  </si>
  <si>
    <t>динамика_курса_EUR</t>
  </si>
  <si>
    <t>море</t>
  </si>
  <si>
    <t>да</t>
  </si>
  <si>
    <t>нет</t>
  </si>
  <si>
    <t>маржа</t>
  </si>
  <si>
    <t>наценка</t>
  </si>
  <si>
    <t>прибыль</t>
  </si>
  <si>
    <t>Лист согласования</t>
  </si>
  <si>
    <t>от</t>
  </si>
  <si>
    <t>Заказ клиента №</t>
  </si>
  <si>
    <t>Контрагент</t>
  </si>
  <si>
    <t xml:space="preserve">Проектный менеджер </t>
  </si>
  <si>
    <t>Условия оплаты</t>
  </si>
  <si>
    <t>Арбитражный суд</t>
  </si>
  <si>
    <t>СОГЛАСОВАНО</t>
  </si>
  <si>
    <t>Руководитель департамента закупок</t>
  </si>
  <si>
    <t>Руководитель департамента продаж</t>
  </si>
  <si>
    <t>Руководитель департамента системной интеграции</t>
  </si>
  <si>
    <t>Заместитель генерального директора</t>
  </si>
  <si>
    <t>Главный бухгалтер</t>
  </si>
  <si>
    <t>Вкл. в расчёт</t>
  </si>
  <si>
    <t>подпись</t>
  </si>
  <si>
    <t>менеджеры</t>
  </si>
  <si>
    <t>Ковальчук В.Ю.</t>
  </si>
  <si>
    <t>Левина Л.Б.</t>
  </si>
  <si>
    <t>Дамашов А.С.</t>
  </si>
  <si>
    <t>Канский А.Н.</t>
  </si>
  <si>
    <t>Маржа</t>
  </si>
  <si>
    <t>Обеспечение контракта</t>
  </si>
  <si>
    <t>Вид обеспечения</t>
  </si>
  <si>
    <t>Срок обеспечения</t>
  </si>
  <si>
    <t>Тендер</t>
  </si>
  <si>
    <t>Номер извещения</t>
  </si>
  <si>
    <t>Ссылка</t>
  </si>
  <si>
    <t>Закон</t>
  </si>
  <si>
    <t>способы_проведения_тендеров</t>
  </si>
  <si>
    <t>открытый конкурс</t>
  </si>
  <si>
    <t>конкурс с ограниченным участием</t>
  </si>
  <si>
    <t>двухэтапный конкурс</t>
  </si>
  <si>
    <t>закрытый конкурс</t>
  </si>
  <si>
    <t>закрытый конкурс с ограниченным участием</t>
  </si>
  <si>
    <t>закрытый двухэтапный конкурс</t>
  </si>
  <si>
    <t>открытый аукцион</t>
  </si>
  <si>
    <t>закрытый аукцион</t>
  </si>
  <si>
    <t>запрос предложений</t>
  </si>
  <si>
    <t>Способ проведения</t>
  </si>
  <si>
    <t>44ЦБ-000</t>
  </si>
  <si>
    <t>Пени</t>
  </si>
  <si>
    <t>Этап</t>
  </si>
  <si>
    <t>Тип</t>
  </si>
  <si>
    <t>Тип соглашения и предмет договора:</t>
  </si>
  <si>
    <t>Срок</t>
  </si>
  <si>
    <t>С момента</t>
  </si>
  <si>
    <t>Ограничение пени</t>
  </si>
  <si>
    <t xml:space="preserve">Условия доставки/выполнения работ </t>
  </si>
  <si>
    <t>Город</t>
  </si>
  <si>
    <t>Срок гарантии</t>
  </si>
  <si>
    <t>Гарантия</t>
  </si>
  <si>
    <t>Срок замены</t>
  </si>
  <si>
    <t>Прочее:</t>
  </si>
  <si>
    <t xml:space="preserve">Сумма </t>
  </si>
  <si>
    <t>Муравьев Д.C.</t>
  </si>
  <si>
    <t>подпись, дата</t>
  </si>
  <si>
    <t>валюта_кп</t>
  </si>
  <si>
    <t>рублей</t>
  </si>
  <si>
    <t>долларов США</t>
  </si>
  <si>
    <t>eвро</t>
  </si>
  <si>
    <t>Доля</t>
  </si>
  <si>
    <t>Включить транспортные расходы</t>
  </si>
  <si>
    <t>отдел_закупок</t>
  </si>
  <si>
    <t>Срок доставки на склад 4х4</t>
  </si>
  <si>
    <t>ЛЕГЕНДА</t>
  </si>
  <si>
    <t>заполняется проектным менеджером -&gt;</t>
  </si>
  <si>
    <t>заполняется менеджером департамента закупок - &gt;</t>
  </si>
  <si>
    <t>может заполняться сотрудниками любого отдела - &gt;</t>
  </si>
  <si>
    <t>Желаемый срок расчёта</t>
  </si>
  <si>
    <t>Бюджет заказчика</t>
  </si>
  <si>
    <t>Срок действия цены</t>
  </si>
  <si>
    <t>Рассчитал</t>
  </si>
  <si>
    <t>НДС закупки</t>
  </si>
  <si>
    <t>ГК РФ</t>
  </si>
  <si>
    <t>Васильев С.И.</t>
  </si>
  <si>
    <t>Никонов А.С.</t>
  </si>
  <si>
    <t>Нисенбаум А.А.</t>
  </si>
  <si>
    <t>Спивак С.А.</t>
  </si>
  <si>
    <t>v0.98</t>
  </si>
  <si>
    <t>Исправлена ошибка адресации в формулах столбцов таблице расчёта продажи</t>
  </si>
  <si>
    <t>Исправлено форматирование столбца "Срок доставки на склад 4х4" в таблице расчёта закупки</t>
  </si>
  <si>
    <t>запрос котировок/цен</t>
  </si>
  <si>
    <t>Увеличена ширина и изменено форматирование ячейки "Контрагент" на листе согласования</t>
  </si>
  <si>
    <t>источник</t>
  </si>
  <si>
    <t>GPL</t>
  </si>
  <si>
    <t>вход</t>
  </si>
  <si>
    <t>Исправления:</t>
  </si>
  <si>
    <t>Улучшения:</t>
  </si>
  <si>
    <t>Удалены правила проверки вводимых данных в ячейке "Срок гарантии" на листе согласования</t>
  </si>
  <si>
    <t>Бубанков Г.Е.</t>
  </si>
  <si>
    <t>Ванюшин С.Н.</t>
  </si>
  <si>
    <t>Синиченко С.В.</t>
  </si>
  <si>
    <t>Ширяев А.М.</t>
  </si>
  <si>
    <t>Сорокин А.В.</t>
  </si>
  <si>
    <t>Способ</t>
  </si>
  <si>
    <t>Источник</t>
  </si>
  <si>
    <t>Процент</t>
  </si>
  <si>
    <t>Добавлена возможность выбирать источник цен для расчёта (GPL или вход) у каждой позиции КП с помощью новой служебной колонки "Источник" на листе расчёта продажи</t>
  </si>
  <si>
    <t>Кнопки добавления новых строк в таблицу расчёта закупки заменены на +5 и +20</t>
  </si>
  <si>
    <t>v0.99</t>
  </si>
  <si>
    <t>Единица измерения</t>
  </si>
  <si>
    <t>Если у строки в таблице расчёта закупке не указан индекс, а значит она не войдёт в расчёт продажи, то цвет текста в такой строке меняется на светло-серый</t>
  </si>
  <si>
    <t>менеджеры_должность</t>
  </si>
  <si>
    <t>Менеджер департамента продаж</t>
  </si>
  <si>
    <t>Технический директор</t>
  </si>
  <si>
    <t>Старший специалист отдела сопровождения проектов</t>
  </si>
  <si>
    <t>Руководитель департамента закупок и логистики</t>
  </si>
  <si>
    <t>Генеральный директор</t>
  </si>
  <si>
    <t>Руководитель проектов</t>
  </si>
  <si>
    <t>Директор по развитию бизнеса</t>
  </si>
  <si>
    <t>Руководитель сервисного центра</t>
  </si>
  <si>
    <t>Добавлена возможность экспорта КП на бланк в Word и в отдельную книгу Excel</t>
  </si>
  <si>
    <t>Исправлено форматирование и проверка данных в некоторых ячейках на листе согласования</t>
  </si>
  <si>
    <t>Известные ошибки:</t>
  </si>
  <si>
    <t>Ошибка "Out of memory" при попытке создания комплект из более чем ~50 наименований в связи с ограничением Excel на количество символов в одной ячейке</t>
  </si>
  <si>
    <t>При выделении одной или нескольких ячеек в столбцах "Цена GPL" (21) и "Цена входа" (23) к ним добавляется комментарий, содержащий "p/n" и "Наименование" соответствующего товара</t>
  </si>
  <si>
    <t>При вставке в столбцы "Цена GPL" (21) и "Цена входа" (23) строки содержащей точку на конце, все остальные десятичные разделители будут проигнорированы. Например, строка "1 234,50 р." будет распознана как число "123450"</t>
  </si>
  <si>
    <t>Добавлена возможность вводить формулы в ячейки столбцов "Цена GPL" (21) и "Цена входа" (23) на листе расчёта закупки (но не вставлять!)</t>
  </si>
  <si>
    <r>
      <t>Объем, м</t>
    </r>
    <r>
      <rPr>
        <vertAlign val="superscript"/>
        <sz val="11"/>
        <color theme="1"/>
        <rFont val="Calibri"/>
        <family val="1"/>
        <charset val="204"/>
        <scheme val="minor"/>
      </rPr>
      <t>3</t>
    </r>
  </si>
  <si>
    <r>
      <t>Общий объем, м</t>
    </r>
    <r>
      <rPr>
        <vertAlign val="superscript"/>
        <sz val="11"/>
        <color theme="1"/>
        <rFont val="Calibri"/>
        <family val="1"/>
        <charset val="204"/>
        <scheme val="minor"/>
      </rPr>
      <t>3</t>
    </r>
  </si>
  <si>
    <t>Расчёт продажи</t>
  </si>
  <si>
    <t>Расчёт прибыли</t>
  </si>
  <si>
    <t>7
Цена продажи</t>
  </si>
  <si>
    <t>8
Сумма продажи</t>
  </si>
  <si>
    <t>9
Сумма НДС продажи</t>
  </si>
  <si>
    <t>10
Способ НДС</t>
  </si>
  <si>
    <t>Способ расчёта НДС</t>
  </si>
  <si>
    <t>11
Способ расчёта  прибыли</t>
  </si>
  <si>
    <t>12
Источник для расчёта прибыли</t>
  </si>
  <si>
    <t>13
Процент прибыли</t>
  </si>
  <si>
    <t>14
Результирующая маржа</t>
  </si>
  <si>
    <t>15
Валюта GPL</t>
  </si>
  <si>
    <t>16
Цена GPL</t>
  </si>
  <si>
    <t>17
Сумма GPL</t>
  </si>
  <si>
    <t>Скидка, %</t>
  </si>
  <si>
    <t>Цена розницы / GPL</t>
  </si>
  <si>
    <t>Цена закупки</t>
  </si>
  <si>
    <t>Валюта закупки</t>
  </si>
  <si>
    <t>Валюта продажи</t>
  </si>
  <si>
    <t>НДС продажи</t>
  </si>
  <si>
    <t>Сумма закупки в валюте закупки</t>
  </si>
  <si>
    <t>Цена закупки в валюте закупки</t>
  </si>
  <si>
    <t>30
Всего</t>
  </si>
  <si>
    <t>Сумма в валюте GPL</t>
  </si>
  <si>
    <t>Цена в валюте GPL</t>
  </si>
  <si>
    <t>Служебные</t>
  </si>
  <si>
    <t>Тип индекса</t>
  </si>
  <si>
    <t>выручка</t>
  </si>
  <si>
    <t>себестоимость</t>
  </si>
  <si>
    <t>размер_НДС</t>
  </si>
  <si>
    <t>ЛИСТЫ</t>
  </si>
  <si>
    <t>Расчёт закупки</t>
  </si>
  <si>
    <t>НДС GPL</t>
  </si>
  <si>
    <t>18
НДС GPL</t>
  </si>
  <si>
    <t>19
Сумма GPL в валюте продажи</t>
  </si>
  <si>
    <t>20
Скидка</t>
  </si>
  <si>
    <t>21
Валюта закупки</t>
  </si>
  <si>
    <t>22
Цена закупки</t>
  </si>
  <si>
    <t>31
Объём</t>
  </si>
  <si>
    <t>32
Всего</t>
  </si>
  <si>
    <t>23
Сумма закупки</t>
  </si>
  <si>
    <t>25
Сумма закупки в валюте продажи</t>
  </si>
  <si>
    <t>26
Срок поставки</t>
  </si>
  <si>
    <t>27
Поставщик</t>
  </si>
  <si>
    <t>28
Примечание</t>
  </si>
  <si>
    <t>29
Вес</t>
  </si>
  <si>
    <t>24
НДС закупки</t>
  </si>
  <si>
    <t>33
Тип индекса</t>
  </si>
  <si>
    <t>Дата расчёта</t>
  </si>
  <si>
    <t>&lt;= расчёт GPL</t>
  </si>
  <si>
    <t>расчёт GPL =&gt;</t>
  </si>
  <si>
    <t>&lt;= расчёт прибыли</t>
  </si>
  <si>
    <t>34
НДС закупки</t>
  </si>
  <si>
    <t>размер_НДС_закупки</t>
  </si>
  <si>
    <t>КП 22.09.2017 6.40.23</t>
  </si>
  <si>
    <t>КП 22.09.2017 6.55.26</t>
  </si>
  <si>
    <t>Курс ЦБ РФ на 23.09.2017</t>
  </si>
  <si>
    <t>КП 23.09.2017 20.58.56</t>
  </si>
  <si>
    <t>КП 23.09.2017 21.06.37</t>
  </si>
  <si>
    <t>Функциональность расчёта КП перенесена на лист расчёта закупки, а сам он переименован в "Внутренняя спецификация"</t>
  </si>
  <si>
    <t>Исправлена функция корректировки чисел при вставке в столбцы "Цена GPL" (16) и "Цена закупки" (22), из-за которой игнорировали все десятичные разделители, если строка заканчивалась на точку. Например, строка "1 234,50 р." раньше распознавалась как число "123450", а теперь как "1234,50"</t>
  </si>
  <si>
    <t>Из-за это повлияло на расположение и кол-во столбцов во всём листе расчёта - их стало больше, но это должно улучшить удобство использования файла</t>
  </si>
  <si>
    <t>Панель подготовки КП теперь находятся в 10 столбце над таблицей расчёта</t>
  </si>
  <si>
    <t>При нажатии кнопки "Расчёт КП", расчёты сохраняются на новые листы с именами в формате "КП %ДАТА% %ВРЕМЯ%". Таким образом можно создать несколько расчётов в одном файле (разный товар, наценка, группировка) и при экспорте в Word или Excel выбирать нужный в выпадающем списке. Обратите внимание, что наименование заказчика, условия оплаты, условия доставки и другие данные не сохраняются и каждый раз считываются заново - сохраняется только список товаров, цены, НДС и валюта.</t>
  </si>
  <si>
    <t>Над столбцами с GPL добавлен срез по производителю - теперь удобно фильтровать расчёт для подсчёта суммы GPL по конкретному вендору</t>
  </si>
  <si>
    <t>Все формулы в итогах расчёта теперь суммируют только видимые ячейки, скрытые (например, при фильтрации) исключаются из суммы. А т.к. все суммы в строках таблицы расчёта обнуляются, если у строки нет индекса, то итоговые суммы отражают только фактически входящие в состав КП товары. Исключения - итоговые суммы веса и объёма.</t>
  </si>
  <si>
    <t>v1.04</t>
  </si>
  <si>
    <t>КП 24.09.2017 2.08.44</t>
  </si>
  <si>
    <t>Не ошибка, но особенность - если у строки с индексом сборки (оканчивающейся на ".0") не указан способ расчёта НДС, то НДС у всей сборки обнуляется. Это может привести к разнице в расчёте на листе "Внутренняя спецификация" с расчётом КП.</t>
  </si>
  <si>
    <r>
      <t xml:space="preserve">Добавлены правила условного форматирования:
- ячейки с одинаковыми индексами выделяются красным;
- все ячейки с ошибками в вычислениях в столбцах 7-9 и 14 выделяются красным и полужирным шрифтом;
- наименование строк с индексами заголовка ("1", "3", "14" и т.д.) выделяются </t>
    </r>
    <r>
      <rPr>
        <b/>
        <sz val="11"/>
        <color theme="1"/>
        <rFont val="Calibri"/>
        <family val="2"/>
        <charset val="204"/>
        <scheme val="minor"/>
      </rPr>
      <t xml:space="preserve">полужирным;
</t>
    </r>
    <r>
      <rPr>
        <sz val="11"/>
        <color theme="1"/>
        <rFont val="Calibri"/>
        <family val="2"/>
        <charset val="204"/>
        <scheme val="minor"/>
      </rPr>
      <t xml:space="preserve">- наименование строк с индексами комплекта ("1.0", "3.0", "14.0" и т.д.) выделяются </t>
    </r>
    <r>
      <rPr>
        <i/>
        <u/>
        <sz val="11"/>
        <color theme="1"/>
        <rFont val="Calibri"/>
        <family val="2"/>
        <charset val="204"/>
        <scheme val="minor"/>
      </rPr>
      <t>курсивом и подчёркиваются</t>
    </r>
    <r>
      <rPr>
        <sz val="11"/>
        <color theme="1"/>
        <rFont val="Calibri"/>
        <family val="2"/>
        <charset val="204"/>
        <scheme val="minor"/>
      </rPr>
      <t>;
- ячейки с суммами выделяются красным, если они обнаружены у строк с индексами заголовка (и ещё они обнуляются);
- ячейки со способом расчёта НДС выделяются красным, если (1) они пусты и найдены у строки с индексом комплекта (".0") или (2) указан способ "н/о НДС", хотя закупка производится с НДС;
- гистограмма размера процента наценки/маржи в столбце Процент (13). Строки без индекса игнорируются. Гистограмма не различает маржу и наценку, просто берётся значение процента;
- гистограмма размера маржи в столбце Маржа (14). Строки без индекса игнорируются</t>
    </r>
  </si>
  <si>
    <t>Доставка теперь прибавляется к товару пропорционально стоимости закупки с НДС, и теперь к ней НЕ добавляется маржа/наценка</t>
  </si>
  <si>
    <t>Исправлено неправильная обработка налогообложения при экспорте в Word, а также ошибка в случае отсутствия указания проектного менеджера на листе согласования</t>
  </si>
  <si>
    <r>
      <t xml:space="preserve">расчёт прибыли </t>
    </r>
    <r>
      <rPr>
        <sz val="11"/>
        <color theme="1"/>
        <rFont val="Calibri"/>
        <family val="2"/>
        <charset val="204"/>
        <scheme val="minor"/>
      </rPr>
      <t>=&gt;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</si>
</sst>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[$$-1009]#,##0.00"/>
    <numFmt numFmtId="165" formatCode="#,##0.00&quot;р.&quot;"/>
    <numFmt numFmtId="166" formatCode="_(&quot;$&quot;* #,##0.00_);_(&quot;$&quot;* \(#,##0.00\);_(&quot;$&quot;* &quot;-&quot;??_);_(@_)"/>
    <numFmt numFmtId="167" formatCode="0.00%;[Red]\-0.00%"/>
    <numFmt numFmtId="168" formatCode="#,##0.0000\ [$₽-419]_-;[Red]\-#,##0.0000\ [$₽-419]_-;&quot;-&quot;??\ [$₽-419]_-"/>
    <numFmt numFmtId="169" formatCode="#,##0.00\ [$₽-419]_-;[Red]\-#,##0.00\ [$₽-419]_-;&quot;-&quot;??\ [$₽-419]_-"/>
    <numFmt numFmtId="170" formatCode="0\ &quot;мес.&quot;"/>
    <numFmt numFmtId="171" formatCode="&quot;г.&quot;\ @"/>
    <numFmt numFmtId="172" formatCode="&quot;/&quot;\ @\ &quot;/&quot;"/>
    <numFmt numFmtId="173" formatCode="[$-FC19]dd\ mmmm\ yyyy\ \г\ h:mm;@"/>
    <numFmt numFmtId="174" formatCode="0\ &quot;дн.&quot;"/>
    <numFmt numFmtId="175" formatCode="@&quot;         &quot;"/>
    <numFmt numFmtId="176" formatCode="#,##0.00\ [$₽-419];\-#,##0.00\ [$₽-419]"/>
    <numFmt numFmtId="177" formatCode=";;&quot;&quot;;@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name val="Arial Cyr"/>
      <charset val="204"/>
    </font>
    <font>
      <sz val="11"/>
      <name val="Calibri"/>
      <family val="2"/>
      <scheme val="minor"/>
    </font>
    <font>
      <sz val="8"/>
      <color rgb="FF000000"/>
      <name val="Segoe UI"/>
      <family val="2"/>
      <charset val="204"/>
    </font>
    <font>
      <sz val="11"/>
      <color rgb="FF000000"/>
      <name val="Calibri"/>
      <family val="2"/>
      <scheme val="minor"/>
    </font>
    <font>
      <sz val="10"/>
      <name val="Calibri"/>
      <family val="2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  <charset val="204"/>
    </font>
    <font>
      <b/>
      <sz val="11"/>
      <color theme="1"/>
      <name val="Century Gothic"/>
      <family val="2"/>
      <charset val="204"/>
    </font>
    <font>
      <vertAlign val="superscript"/>
      <sz val="11"/>
      <color theme="1"/>
      <name val="Century Gothic"/>
      <family val="2"/>
      <charset val="204"/>
    </font>
    <font>
      <b/>
      <sz val="12"/>
      <color theme="1"/>
      <name val="Century"/>
      <family val="1"/>
      <charset val="204"/>
    </font>
    <font>
      <sz val="11"/>
      <color theme="1"/>
      <name val="Century"/>
      <family val="1"/>
      <charset val="204"/>
    </font>
    <font>
      <sz val="14"/>
      <color theme="1"/>
      <name val="Century"/>
      <family val="1"/>
      <charset val="204"/>
    </font>
    <font>
      <i/>
      <sz val="10"/>
      <color theme="1"/>
      <name val="Century Gothic"/>
      <family val="2"/>
      <charset val="204"/>
    </font>
    <font>
      <b/>
      <sz val="14"/>
      <color theme="1"/>
      <name val="Century"/>
      <family val="1"/>
      <charset val="204"/>
    </font>
    <font>
      <sz val="8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i/>
      <u/>
      <sz val="9"/>
      <color indexed="81"/>
      <name val="Tahoma"/>
      <family val="2"/>
      <charset val="204"/>
    </font>
    <font>
      <sz val="9"/>
      <color theme="1"/>
      <name val="Tahoma"/>
      <family val="2"/>
      <charset val="204"/>
    </font>
    <font>
      <i/>
      <u/>
      <sz val="9"/>
      <color theme="1"/>
      <name val="Tahoma"/>
      <family val="2"/>
      <charset val="204"/>
    </font>
    <font>
      <b/>
      <sz val="9"/>
      <color theme="1"/>
      <name val="Tahoma"/>
      <family val="2"/>
      <charset val="204"/>
    </font>
    <font>
      <b/>
      <sz val="11"/>
      <color rgb="FFFF0000"/>
      <name val="Calibri"/>
      <family val="2"/>
      <charset val="204"/>
      <scheme val="minor"/>
    </font>
    <font>
      <sz val="10"/>
      <name val="Arial"/>
      <family val="2"/>
      <charset val="204"/>
    </font>
    <font>
      <vertAlign val="superscript"/>
      <sz val="11"/>
      <color theme="1"/>
      <name val="Calibri"/>
      <family val="1"/>
      <charset val="204"/>
      <scheme val="minor"/>
    </font>
    <font>
      <b/>
      <sz val="11"/>
      <color theme="1"/>
      <name val="Calibri"/>
      <family val="2"/>
      <scheme val="minor"/>
    </font>
    <font>
      <sz val="11"/>
      <color rgb="FFC0C0C0"/>
      <name val="Calibri"/>
      <family val="2"/>
      <charset val="204"/>
    </font>
    <font>
      <i/>
      <u/>
      <sz val="11"/>
      <color theme="1"/>
      <name val="Calibri"/>
      <family val="2"/>
      <charset val="204"/>
      <scheme val="minor"/>
    </font>
    <font>
      <sz val="10"/>
      <color theme="1"/>
      <name val="Century Gothic"/>
      <family val="2"/>
      <charset val="204"/>
    </font>
    <font>
      <i/>
      <u/>
      <sz val="10"/>
      <color theme="1" tint="0.499984740745262"/>
      <name val="Century Gothic"/>
      <family val="2"/>
      <charset val="204"/>
    </font>
    <font>
      <u/>
      <sz val="10"/>
      <color theme="1"/>
      <name val="Century Gothic"/>
      <family val="2"/>
      <charset val="204"/>
    </font>
    <font>
      <sz val="11"/>
      <color theme="1"/>
      <name val="Century Gothic"/>
      <family val="2"/>
      <charset val="204"/>
    </font>
    <font>
      <sz val="10"/>
      <name val="Century Gothic"/>
      <family val="2"/>
      <charset val="204"/>
    </font>
    <font>
      <b/>
      <sz val="11"/>
      <color theme="1"/>
      <name val="Century"/>
      <family val="1"/>
      <charset val="204"/>
    </font>
    <font>
      <b/>
      <u/>
      <sz val="10"/>
      <color theme="1"/>
      <name val="Century"/>
      <family val="1"/>
      <charset val="204"/>
    </font>
    <font>
      <u/>
      <sz val="10"/>
      <name val="Century Gothic"/>
      <family val="2"/>
      <charset val="204"/>
    </font>
    <font>
      <b/>
      <u/>
      <sz val="10"/>
      <color theme="1"/>
      <name val="Century Gothic"/>
      <family val="2"/>
      <charset val="204"/>
    </font>
    <font>
      <b/>
      <sz val="10"/>
      <color theme="1"/>
      <name val="Century Gothic"/>
      <family val="2"/>
      <charset val="204"/>
    </font>
    <font>
      <b/>
      <sz val="10"/>
      <color theme="1"/>
      <name val="Century"/>
      <family val="1"/>
      <charset val="204"/>
    </font>
    <font>
      <b/>
      <sz val="10"/>
      <color rgb="FFC00000"/>
      <name val="Century Gothic"/>
      <family val="2"/>
      <charset val="204"/>
    </font>
    <font>
      <b/>
      <vertAlign val="subscript"/>
      <sz val="14"/>
      <color theme="1"/>
      <name val="Century"/>
      <family val="1"/>
      <charset val="204"/>
    </font>
    <font>
      <b/>
      <sz val="10"/>
      <color rgb="FFFF0000"/>
      <name val="Century Gothic"/>
      <family val="2"/>
      <charset val="204"/>
    </font>
    <font>
      <b/>
      <vertAlign val="subscript"/>
      <sz val="12"/>
      <name val="Century"/>
      <family val="1"/>
      <charset val="204"/>
    </font>
    <font>
      <i/>
      <sz val="9"/>
      <color theme="1" tint="0.34998626667073579"/>
      <name val="Century Gothic"/>
      <family val="2"/>
      <charset val="204"/>
    </font>
    <font>
      <b/>
      <sz val="9"/>
      <color theme="1" tint="0.34998626667073579"/>
      <name val="Century Gothic"/>
      <family val="2"/>
      <charset val="204"/>
    </font>
    <font>
      <b/>
      <sz val="14"/>
      <color theme="1"/>
      <name val="Century"/>
      <family val="1"/>
      <charset val="204"/>
    </font>
    <font>
      <b/>
      <sz val="11"/>
      <name val="Century"/>
      <family val="1"/>
      <charset val="204"/>
    </font>
    <font>
      <sz val="10"/>
      <name val="Century"/>
      <family val="1"/>
      <charset val="204"/>
    </font>
    <font>
      <b/>
      <sz val="10"/>
      <name val="Century"/>
      <family val="1"/>
      <charset val="204"/>
    </font>
    <font>
      <sz val="10"/>
      <color theme="1"/>
      <name val="Century"/>
      <family val="1"/>
      <charset val="204"/>
    </font>
    <font>
      <sz val="8"/>
      <color theme="1"/>
      <name val="Century Gothic"/>
      <family val="2"/>
      <charset val="204"/>
    </font>
    <font>
      <sz val="10"/>
      <color rgb="FF222222"/>
      <name val="Century Gothic"/>
      <family val="2"/>
      <charset val="204"/>
    </font>
    <font>
      <b/>
      <sz val="10"/>
      <color theme="5"/>
      <name val="Century Gothic"/>
      <family val="2"/>
      <charset val="204"/>
    </font>
    <font>
      <sz val="10"/>
      <color rgb="FF000000"/>
      <name val="Century Gothic"/>
      <family val="2"/>
      <charset val="204"/>
    </font>
    <font>
      <b/>
      <sz val="10"/>
      <color rgb="FF222222"/>
      <name val="Century Gothic"/>
      <family val="2"/>
      <charset val="204"/>
    </font>
    <font>
      <b/>
      <sz val="11"/>
      <color theme="1"/>
      <name val="Century Gothic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2E5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EDF7EF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0" fontId="6" fillId="0" borderId="0"/>
    <xf numFmtId="0" fontId="6" fillId="0" borderId="0"/>
    <xf numFmtId="0" fontId="7" fillId="0" borderId="0"/>
    <xf numFmtId="0" fontId="4" fillId="0" borderId="0"/>
    <xf numFmtId="166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0" fillId="0" borderId="0"/>
    <xf numFmtId="0" fontId="11" fillId="0" borderId="0" applyNumberFormat="0" applyFill="0" applyBorder="0" applyAlignment="0" applyProtection="0"/>
    <xf numFmtId="0" fontId="3" fillId="0" borderId="0"/>
    <xf numFmtId="9" fontId="14" fillId="0" borderId="0" applyFont="0" applyFill="0" applyBorder="0" applyAlignment="0" applyProtection="0"/>
    <xf numFmtId="0" fontId="30" fillId="0" borderId="0"/>
  </cellStyleXfs>
  <cellXfs count="320">
    <xf numFmtId="0" fontId="0" fillId="0" borderId="0" xfId="0"/>
    <xf numFmtId="0" fontId="5" fillId="0" borderId="0" xfId="0" applyFont="1"/>
    <xf numFmtId="0" fontId="5" fillId="0" borderId="10" xfId="0" applyFont="1" applyBorder="1"/>
    <xf numFmtId="0" fontId="8" fillId="0" borderId="13" xfId="4" applyFont="1" applyBorder="1" applyProtection="1"/>
    <xf numFmtId="0" fontId="8" fillId="0" borderId="15" xfId="4" applyFont="1" applyBorder="1" applyProtection="1"/>
    <xf numFmtId="0" fontId="5" fillId="0" borderId="11" xfId="0" applyFont="1" applyBorder="1"/>
    <xf numFmtId="0" fontId="5" fillId="0" borderId="12" xfId="0" applyFont="1" applyBorder="1"/>
    <xf numFmtId="0" fontId="0" fillId="0" borderId="13" xfId="0" applyBorder="1"/>
    <xf numFmtId="0" fontId="0" fillId="0" borderId="15" xfId="0" applyBorder="1"/>
    <xf numFmtId="0" fontId="0" fillId="0" borderId="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5" fillId="0" borderId="11" xfId="0" applyNumberFormat="1" applyFont="1" applyBorder="1"/>
    <xf numFmtId="0" fontId="5" fillId="0" borderId="12" xfId="0" applyNumberFormat="1" applyFont="1" applyBorder="1"/>
    <xf numFmtId="0" fontId="0" fillId="0" borderId="0" xfId="0" applyNumberFormat="1"/>
    <xf numFmtId="0" fontId="8" fillId="0" borderId="0" xfId="4" applyNumberFormat="1" applyFont="1" applyBorder="1" applyAlignment="1" applyProtection="1">
      <alignment horizontal="center"/>
    </xf>
    <xf numFmtId="0" fontId="8" fillId="0" borderId="14" xfId="4" applyNumberFormat="1" applyFont="1" applyBorder="1" applyAlignment="1" applyProtection="1">
      <alignment horizontal="center"/>
    </xf>
    <xf numFmtId="0" fontId="8" fillId="0" borderId="16" xfId="4" applyNumberFormat="1" applyFont="1" applyBorder="1" applyAlignment="1" applyProtection="1">
      <alignment horizontal="center"/>
    </xf>
    <xf numFmtId="0" fontId="8" fillId="0" borderId="17" xfId="4" applyNumberFormat="1" applyFont="1" applyBorder="1" applyAlignment="1" applyProtection="1">
      <alignment horizontal="center"/>
    </xf>
    <xf numFmtId="0" fontId="5" fillId="0" borderId="0" xfId="0" applyFont="1" applyBorder="1"/>
    <xf numFmtId="0" fontId="0" fillId="0" borderId="16" xfId="0" quotePrefix="1" applyBorder="1" applyAlignment="1">
      <alignment horizontal="center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171" fontId="15" fillId="0" borderId="0" xfId="0" applyNumberFormat="1" applyFont="1" applyBorder="1" applyAlignment="1">
      <alignment horizontal="left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9" fillId="0" borderId="0" xfId="0" applyFont="1" applyBorder="1" applyAlignment="1">
      <alignment vertical="center"/>
    </xf>
    <xf numFmtId="174" fontId="15" fillId="0" borderId="0" xfId="0" applyNumberFormat="1" applyFont="1" applyBorder="1" applyAlignment="1">
      <alignment vertical="center"/>
    </xf>
    <xf numFmtId="0" fontId="15" fillId="2" borderId="19" xfId="0" applyFont="1" applyFill="1" applyBorder="1" applyAlignment="1">
      <alignment horizontal="left" vertical="center"/>
    </xf>
    <xf numFmtId="4" fontId="15" fillId="2" borderId="19" xfId="0" applyNumberFormat="1" applyFont="1" applyFill="1" applyBorder="1" applyAlignment="1">
      <alignment vertical="center"/>
    </xf>
    <xf numFmtId="0" fontId="15" fillId="0" borderId="21" xfId="0" applyFont="1" applyBorder="1" applyAlignment="1">
      <alignment vertical="center"/>
    </xf>
    <xf numFmtId="0" fontId="16" fillId="0" borderId="22" xfId="0" applyFont="1" applyBorder="1" applyAlignment="1">
      <alignment horizontal="left" vertical="center"/>
    </xf>
    <xf numFmtId="0" fontId="15" fillId="0" borderId="22" xfId="0" applyFont="1" applyBorder="1" applyAlignment="1">
      <alignment vertical="center"/>
    </xf>
    <xf numFmtId="0" fontId="15" fillId="0" borderId="23" xfId="0" applyFont="1" applyBorder="1" applyAlignment="1">
      <alignment vertical="center"/>
    </xf>
    <xf numFmtId="0" fontId="19" fillId="0" borderId="24" xfId="0" applyFont="1" applyBorder="1" applyAlignment="1">
      <alignment vertical="center"/>
    </xf>
    <xf numFmtId="0" fontId="19" fillId="0" borderId="25" xfId="0" applyFont="1" applyBorder="1" applyAlignment="1">
      <alignment vertical="center"/>
    </xf>
    <xf numFmtId="0" fontId="15" fillId="0" borderId="24" xfId="0" applyFont="1" applyBorder="1" applyAlignment="1">
      <alignment vertical="center"/>
    </xf>
    <xf numFmtId="0" fontId="15" fillId="0" borderId="25" xfId="0" applyFont="1" applyBorder="1" applyAlignment="1">
      <alignment vertic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vertical="center"/>
    </xf>
    <xf numFmtId="0" fontId="15" fillId="0" borderId="27" xfId="0" applyFont="1" applyBorder="1" applyAlignment="1">
      <alignment horizontal="left"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6" fillId="0" borderId="22" xfId="0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6" fillId="0" borderId="25" xfId="0" applyFont="1" applyBorder="1" applyAlignment="1">
      <alignment vertical="center"/>
    </xf>
    <xf numFmtId="0" fontId="15" fillId="0" borderId="25" xfId="0" applyFont="1" applyBorder="1" applyAlignment="1">
      <alignment vertical="center" wrapText="1"/>
    </xf>
    <xf numFmtId="0" fontId="15" fillId="0" borderId="25" xfId="0" applyFont="1" applyBorder="1" applyAlignment="1">
      <alignment horizontal="left" vertical="center"/>
    </xf>
    <xf numFmtId="0" fontId="22" fillId="0" borderId="0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15" fillId="0" borderId="0" xfId="0" applyFont="1" applyAlignment="1"/>
    <xf numFmtId="0" fontId="15" fillId="0" borderId="0" xfId="0" applyFont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172" fontId="15" fillId="0" borderId="0" xfId="0" applyNumberFormat="1" applyFont="1" applyAlignment="1">
      <alignment vertical="center"/>
    </xf>
    <xf numFmtId="0" fontId="15" fillId="0" borderId="25" xfId="0" applyFont="1" applyFill="1" applyBorder="1" applyAlignment="1">
      <alignment vertical="center"/>
    </xf>
    <xf numFmtId="0" fontId="19" fillId="4" borderId="19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0" fontId="29" fillId="0" borderId="0" xfId="0" applyFont="1" applyAlignment="1">
      <alignment wrapText="1"/>
    </xf>
    <xf numFmtId="0" fontId="15" fillId="0" borderId="0" xfId="0" applyFont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19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vertical="center"/>
    </xf>
    <xf numFmtId="0" fontId="15" fillId="4" borderId="19" xfId="0" applyFont="1" applyFill="1" applyBorder="1" applyAlignment="1">
      <alignment vertical="center"/>
    </xf>
    <xf numFmtId="0" fontId="32" fillId="0" borderId="0" xfId="0" applyNumberFormat="1" applyFont="1"/>
    <xf numFmtId="0" fontId="15" fillId="4" borderId="19" xfId="0" applyFont="1" applyFill="1" applyBorder="1" applyAlignment="1">
      <alignment horizontal="center" vertical="center" wrapText="1"/>
    </xf>
    <xf numFmtId="0" fontId="15" fillId="4" borderId="19" xfId="0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10" fontId="15" fillId="4" borderId="19" xfId="10" applyNumberFormat="1" applyFont="1" applyFill="1" applyBorder="1" applyAlignment="1">
      <alignment horizontal="center" vertical="center"/>
    </xf>
    <xf numFmtId="171" fontId="15" fillId="4" borderId="19" xfId="0" applyNumberFormat="1" applyFont="1" applyFill="1" applyBorder="1" applyAlignment="1">
      <alignment horizontal="center" vertical="center"/>
    </xf>
    <xf numFmtId="0" fontId="15" fillId="4" borderId="19" xfId="0" applyFont="1" applyFill="1" applyBorder="1" applyAlignment="1">
      <alignment horizontal="center" vertical="center" wrapText="1"/>
    </xf>
    <xf numFmtId="0" fontId="15" fillId="4" borderId="19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vertical="center"/>
    </xf>
    <xf numFmtId="0" fontId="15" fillId="0" borderId="0" xfId="0" applyFont="1" applyBorder="1" applyAlignment="1">
      <alignment horizontal="center" vertical="center"/>
    </xf>
    <xf numFmtId="10" fontId="15" fillId="4" borderId="19" xfId="10" applyNumberFormat="1" applyFont="1" applyFill="1" applyBorder="1" applyAlignment="1">
      <alignment horizontal="center" vertical="center"/>
    </xf>
    <xf numFmtId="171" fontId="15" fillId="4" borderId="19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wrapText="1"/>
    </xf>
    <xf numFmtId="4" fontId="0" fillId="0" borderId="0" xfId="0" applyNumberFormat="1" applyAlignment="1">
      <alignment horizontal="right"/>
    </xf>
    <xf numFmtId="0" fontId="22" fillId="4" borderId="19" xfId="0" applyFont="1" applyFill="1" applyBorder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7" fillId="0" borderId="18" xfId="0" applyNumberFormat="1" applyFont="1" applyBorder="1" applyAlignment="1">
      <alignment horizontal="center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left" wrapText="1"/>
    </xf>
    <xf numFmtId="0" fontId="15" fillId="0" borderId="0" xfId="0" applyFont="1" applyBorder="1" applyAlignment="1">
      <alignment horizontal="left" vertical="center"/>
    </xf>
    <xf numFmtId="0" fontId="15" fillId="0" borderId="19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2" borderId="19" xfId="0" applyFont="1" applyFill="1" applyBorder="1" applyAlignment="1">
      <alignment horizontal="center" vertical="center"/>
    </xf>
    <xf numFmtId="172" fontId="15" fillId="4" borderId="0" xfId="0" applyNumberFormat="1" applyFont="1" applyFill="1" applyAlignment="1">
      <alignment horizontal="left" vertical="center"/>
    </xf>
    <xf numFmtId="171" fontId="15" fillId="4" borderId="19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0" fontId="15" fillId="2" borderId="19" xfId="0" applyFont="1" applyFill="1" applyBorder="1" applyAlignment="1">
      <alignment horizontal="left" vertical="center"/>
    </xf>
    <xf numFmtId="0" fontId="18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vertical="center"/>
    </xf>
    <xf numFmtId="173" fontId="15" fillId="2" borderId="19" xfId="0" applyNumberFormat="1" applyFont="1" applyFill="1" applyBorder="1" applyAlignment="1">
      <alignment horizontal="left" vertical="center"/>
    </xf>
    <xf numFmtId="173" fontId="15" fillId="2" borderId="20" xfId="0" applyNumberFormat="1" applyFont="1" applyFill="1" applyBorder="1" applyAlignment="1">
      <alignment horizontal="left" vertical="center"/>
    </xf>
    <xf numFmtId="0" fontId="15" fillId="0" borderId="0" xfId="0" applyFont="1" applyBorder="1" applyAlignment="1">
      <alignment horizontal="right" vertical="center"/>
    </xf>
    <xf numFmtId="0" fontId="16" fillId="0" borderId="22" xfId="0" applyFont="1" applyBorder="1" applyAlignment="1">
      <alignment horizontal="left" vertical="center"/>
    </xf>
    <xf numFmtId="14" fontId="22" fillId="4" borderId="19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1" fillId="0" borderId="1" xfId="0" applyFont="1" applyBorder="1" applyAlignment="1">
      <alignment horizontal="right" vertical="center"/>
    </xf>
    <xf numFmtId="0" fontId="21" fillId="0" borderId="20" xfId="0" applyFont="1" applyBorder="1" applyAlignment="1">
      <alignment horizontal="right" vertical="center"/>
    </xf>
    <xf numFmtId="0" fontId="15" fillId="0" borderId="0" xfId="0" applyNumberFormat="1" applyFont="1" applyAlignment="1">
      <alignment horizontal="left" vertical="center"/>
    </xf>
    <xf numFmtId="0" fontId="15" fillId="0" borderId="0" xfId="0" applyFont="1" applyFill="1" applyAlignment="1">
      <alignment horizontal="left" vertical="center"/>
    </xf>
    <xf numFmtId="0" fontId="15" fillId="4" borderId="19" xfId="0" applyFont="1" applyFill="1" applyBorder="1" applyAlignment="1">
      <alignment horizontal="left" vertical="center" wrapText="1"/>
    </xf>
    <xf numFmtId="0" fontId="21" fillId="4" borderId="20" xfId="0" applyFont="1" applyFill="1" applyBorder="1" applyAlignment="1">
      <alignment horizontal="left" vertical="center"/>
    </xf>
    <xf numFmtId="0" fontId="21" fillId="4" borderId="2" xfId="0" applyFont="1" applyFill="1" applyBorder="1" applyAlignment="1">
      <alignment horizontal="left" vertical="center"/>
    </xf>
    <xf numFmtId="177" fontId="15" fillId="0" borderId="0" xfId="0" applyNumberFormat="1" applyFont="1" applyFill="1" applyBorder="1" applyAlignment="1">
      <alignment horizontal="center" vertical="center"/>
    </xf>
    <xf numFmtId="4" fontId="16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10" fontId="15" fillId="4" borderId="19" xfId="10" applyNumberFormat="1" applyFont="1" applyFill="1" applyBorder="1" applyAlignment="1">
      <alignment horizontal="center" vertical="center"/>
    </xf>
    <xf numFmtId="10" fontId="15" fillId="4" borderId="19" xfId="0" applyNumberFormat="1" applyFont="1" applyFill="1" applyBorder="1" applyAlignment="1">
      <alignment horizontal="center" vertical="center"/>
    </xf>
    <xf numFmtId="0" fontId="15" fillId="4" borderId="19" xfId="0" applyFont="1" applyFill="1" applyBorder="1" applyAlignment="1">
      <alignment vertical="center"/>
    </xf>
    <xf numFmtId="174" fontId="15" fillId="4" borderId="19" xfId="0" applyNumberFormat="1" applyFont="1" applyFill="1" applyBorder="1" applyAlignment="1">
      <alignment horizontal="center" vertical="center"/>
    </xf>
    <xf numFmtId="0" fontId="15" fillId="4" borderId="19" xfId="0" applyFont="1" applyFill="1" applyBorder="1" applyAlignment="1">
      <alignment horizontal="center" vertical="center" wrapText="1"/>
    </xf>
    <xf numFmtId="170" fontId="15" fillId="4" borderId="19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left" vertical="center"/>
    </xf>
    <xf numFmtId="0" fontId="15" fillId="4" borderId="19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10" fontId="15" fillId="4" borderId="20" xfId="0" applyNumberFormat="1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vertical="center"/>
    </xf>
    <xf numFmtId="0" fontId="35" fillId="0" borderId="0" xfId="4" applyFont="1" applyProtection="1">
      <protection locked="0"/>
    </xf>
    <xf numFmtId="0" fontId="36" fillId="0" borderId="0" xfId="4" applyFont="1" applyAlignment="1" applyProtection="1">
      <alignment horizontal="right"/>
      <protection locked="0"/>
    </xf>
    <xf numFmtId="0" fontId="37" fillId="0" borderId="0" xfId="4" applyFont="1" applyProtection="1">
      <protection locked="0"/>
    </xf>
    <xf numFmtId="0" fontId="36" fillId="0" borderId="0" xfId="4" applyFont="1" applyAlignment="1" applyProtection="1">
      <alignment horizontal="left"/>
      <protection locked="0"/>
    </xf>
    <xf numFmtId="0" fontId="36" fillId="0" borderId="0" xfId="4" applyFont="1" applyAlignment="1" applyProtection="1">
      <alignment horizontal="center" vertical="center"/>
      <protection locked="0"/>
    </xf>
    <xf numFmtId="0" fontId="36" fillId="0" borderId="0" xfId="4" applyFont="1" applyProtection="1">
      <protection locked="0"/>
    </xf>
    <xf numFmtId="0" fontId="36" fillId="0" borderId="0" xfId="4" applyNumberFormat="1" applyFont="1" applyProtection="1">
      <protection locked="0"/>
    </xf>
    <xf numFmtId="0" fontId="38" fillId="0" borderId="0" xfId="4" applyFont="1"/>
    <xf numFmtId="0" fontId="39" fillId="0" borderId="0" xfId="4" applyFont="1" applyProtection="1">
      <protection locked="0"/>
    </xf>
    <xf numFmtId="0" fontId="35" fillId="0" borderId="0" xfId="4" applyNumberFormat="1" applyFont="1" applyProtection="1">
      <protection locked="0"/>
    </xf>
    <xf numFmtId="0" fontId="40" fillId="0" borderId="0" xfId="4" applyFont="1" applyAlignment="1" applyProtection="1">
      <alignment horizontal="center" vertical="center"/>
      <protection locked="0"/>
    </xf>
    <xf numFmtId="0" fontId="41" fillId="0" borderId="0" xfId="4" applyFont="1" applyAlignment="1" applyProtection="1">
      <alignment horizontal="center" vertical="center"/>
      <protection locked="0"/>
    </xf>
    <xf numFmtId="0" fontId="42" fillId="0" borderId="0" xfId="4" applyFont="1" applyAlignment="1" applyProtection="1">
      <alignment horizontal="center" vertical="center"/>
      <protection locked="0"/>
    </xf>
    <xf numFmtId="0" fontId="42" fillId="0" borderId="0" xfId="4" applyFont="1" applyProtection="1">
      <protection locked="0"/>
    </xf>
    <xf numFmtId="0" fontId="43" fillId="0" borderId="0" xfId="4" applyNumberFormat="1" applyFont="1" applyAlignment="1" applyProtection="1">
      <alignment vertical="center"/>
      <protection locked="0"/>
    </xf>
    <xf numFmtId="0" fontId="44" fillId="0" borderId="0" xfId="4" applyNumberFormat="1" applyFont="1" applyAlignment="1" applyProtection="1">
      <alignment vertical="center"/>
      <protection locked="0"/>
    </xf>
    <xf numFmtId="0" fontId="45" fillId="0" borderId="0" xfId="4" applyFont="1" applyAlignment="1" applyProtection="1">
      <alignment horizontal="center" vertical="center"/>
      <protection locked="0"/>
    </xf>
    <xf numFmtId="0" fontId="39" fillId="0" borderId="0" xfId="4" applyFont="1" applyAlignment="1" applyProtection="1">
      <alignment horizontal="center" vertical="center"/>
      <protection locked="0"/>
    </xf>
    <xf numFmtId="0" fontId="35" fillId="0" borderId="0" xfId="4" applyFont="1" applyBorder="1" applyAlignment="1" applyProtection="1">
      <alignment horizontal="right" vertical="center"/>
      <protection locked="0"/>
    </xf>
    <xf numFmtId="49" fontId="35" fillId="4" borderId="9" xfId="4" applyNumberFormat="1" applyFont="1" applyFill="1" applyBorder="1" applyAlignment="1" applyProtection="1">
      <alignment horizontal="center" vertical="center"/>
      <protection locked="0"/>
    </xf>
    <xf numFmtId="22" fontId="35" fillId="0" borderId="0" xfId="4" applyNumberFormat="1" applyFont="1" applyBorder="1" applyAlignment="1" applyProtection="1">
      <alignment horizontal="right" vertical="top"/>
      <protection locked="0"/>
    </xf>
    <xf numFmtId="0" fontId="46" fillId="4" borderId="9" xfId="4" applyFont="1" applyFill="1" applyBorder="1" applyAlignment="1" applyProtection="1">
      <alignment horizontal="center" vertical="center"/>
      <protection locked="0"/>
    </xf>
    <xf numFmtId="164" fontId="47" fillId="0" borderId="0" xfId="4" applyNumberFormat="1" applyFont="1" applyBorder="1" applyAlignment="1" applyProtection="1">
      <alignment horizontal="center"/>
      <protection locked="0"/>
    </xf>
    <xf numFmtId="164" fontId="45" fillId="0" borderId="0" xfId="4" applyNumberFormat="1" applyFont="1" applyBorder="1" applyAlignment="1" applyProtection="1">
      <alignment horizontal="center"/>
      <protection locked="0"/>
    </xf>
    <xf numFmtId="0" fontId="39" fillId="0" borderId="0" xfId="4" applyNumberFormat="1" applyFont="1" applyProtection="1">
      <protection locked="0"/>
    </xf>
    <xf numFmtId="176" fontId="35" fillId="4" borderId="9" xfId="4" applyNumberFormat="1" applyFont="1" applyFill="1" applyBorder="1" applyAlignment="1" applyProtection="1">
      <alignment horizontal="center" vertical="center"/>
      <protection locked="0"/>
    </xf>
    <xf numFmtId="0" fontId="35" fillId="0" borderId="0" xfId="4" applyFont="1" applyBorder="1" applyAlignment="1" applyProtection="1">
      <alignment horizontal="right" vertical="center"/>
      <protection locked="0"/>
    </xf>
    <xf numFmtId="168" fontId="44" fillId="4" borderId="9" xfId="5" applyNumberFormat="1" applyFont="1" applyFill="1" applyBorder="1" applyAlignment="1" applyProtection="1">
      <alignment horizontal="right" vertical="center"/>
      <protection locked="0"/>
    </xf>
    <xf numFmtId="0" fontId="39" fillId="0" borderId="0" xfId="4" applyFont="1" applyAlignment="1" applyProtection="1">
      <alignment horizontal="right"/>
      <protection locked="0"/>
    </xf>
    <xf numFmtId="0" fontId="48" fillId="0" borderId="0" xfId="4" applyFont="1" applyAlignment="1" applyProtection="1">
      <alignment horizontal="right"/>
      <protection locked="0"/>
    </xf>
    <xf numFmtId="14" fontId="35" fillId="4" borderId="9" xfId="4" applyNumberFormat="1" applyFont="1" applyFill="1" applyBorder="1" applyAlignment="1" applyProtection="1">
      <alignment horizontal="center" vertical="center"/>
      <protection locked="0"/>
    </xf>
    <xf numFmtId="0" fontId="39" fillId="0" borderId="0" xfId="4" applyFont="1" applyBorder="1" applyAlignment="1" applyProtection="1">
      <alignment horizontal="right" vertical="center"/>
      <protection locked="0"/>
    </xf>
    <xf numFmtId="0" fontId="49" fillId="0" borderId="0" xfId="4" applyFont="1" applyAlignment="1" applyProtection="1">
      <alignment horizontal="right"/>
      <protection locked="0"/>
    </xf>
    <xf numFmtId="0" fontId="39" fillId="0" borderId="0" xfId="4" applyFont="1" applyAlignment="1" applyProtection="1">
      <alignment vertical="center"/>
      <protection locked="0"/>
    </xf>
    <xf numFmtId="0" fontId="35" fillId="0" borderId="0" xfId="4" applyNumberFormat="1" applyFont="1" applyAlignment="1" applyProtection="1">
      <alignment horizontal="center" vertical="center"/>
      <protection locked="0"/>
    </xf>
    <xf numFmtId="0" fontId="35" fillId="0" borderId="0" xfId="4" applyNumberFormat="1" applyFont="1" applyAlignment="1" applyProtection="1">
      <alignment vertical="center"/>
      <protection locked="0"/>
    </xf>
    <xf numFmtId="14" fontId="35" fillId="3" borderId="9" xfId="4" applyNumberFormat="1" applyFont="1" applyFill="1" applyBorder="1" applyAlignment="1" applyProtection="1">
      <alignment horizontal="center" vertical="center"/>
      <protection locked="0"/>
    </xf>
    <xf numFmtId="0" fontId="50" fillId="0" borderId="0" xfId="4" applyFont="1" applyAlignment="1" applyProtection="1">
      <alignment horizontal="right" vertical="center"/>
      <protection locked="0"/>
    </xf>
    <xf numFmtId="0" fontId="51" fillId="4" borderId="9" xfId="4" applyFont="1" applyFill="1" applyBorder="1" applyProtection="1">
      <protection locked="0"/>
    </xf>
    <xf numFmtId="164" fontId="47" fillId="0" borderId="0" xfId="4" applyNumberFormat="1" applyFont="1" applyFill="1" applyBorder="1" applyAlignment="1" applyProtection="1">
      <alignment horizontal="center"/>
      <protection hidden="1"/>
    </xf>
    <xf numFmtId="164" fontId="52" fillId="0" borderId="0" xfId="4" applyNumberFormat="1" applyFont="1" applyFill="1" applyBorder="1" applyAlignment="1" applyProtection="1">
      <alignment horizontal="center"/>
      <protection hidden="1"/>
    </xf>
    <xf numFmtId="0" fontId="35" fillId="3" borderId="9" xfId="4" applyFont="1" applyFill="1" applyBorder="1" applyAlignment="1" applyProtection="1">
      <alignment horizontal="center" vertical="center"/>
      <protection locked="0"/>
    </xf>
    <xf numFmtId="0" fontId="51" fillId="3" borderId="9" xfId="4" applyFont="1" applyFill="1" applyBorder="1" applyProtection="1">
      <protection locked="0"/>
    </xf>
    <xf numFmtId="0" fontId="35" fillId="0" borderId="0" xfId="4" applyFont="1" applyFill="1" applyBorder="1" applyAlignment="1" applyProtection="1">
      <alignment horizontal="right" vertical="center"/>
      <protection hidden="1"/>
    </xf>
    <xf numFmtId="168" fontId="35" fillId="0" borderId="9" xfId="4" applyNumberFormat="1" applyFont="1" applyFill="1" applyBorder="1" applyAlignment="1" applyProtection="1">
      <alignment horizontal="right" vertical="center"/>
      <protection hidden="1"/>
    </xf>
    <xf numFmtId="0" fontId="51" fillId="5" borderId="9" xfId="4" applyFont="1" applyFill="1" applyBorder="1" applyProtection="1">
      <protection locked="0"/>
    </xf>
    <xf numFmtId="0" fontId="45" fillId="0" borderId="8" xfId="4" applyFont="1" applyFill="1" applyBorder="1" applyAlignment="1" applyProtection="1">
      <alignment horizontal="center" vertical="center"/>
      <protection locked="0"/>
    </xf>
    <xf numFmtId="175" fontId="45" fillId="0" borderId="8" xfId="4" applyNumberFormat="1" applyFont="1" applyFill="1" applyBorder="1" applyAlignment="1" applyProtection="1">
      <alignment horizontal="center" vertical="center"/>
      <protection locked="0"/>
    </xf>
    <xf numFmtId="0" fontId="45" fillId="0" borderId="3" xfId="4" applyFont="1" applyFill="1" applyBorder="1" applyAlignment="1" applyProtection="1">
      <alignment horizontal="center" vertical="center" wrapText="1"/>
      <protection locked="0"/>
    </xf>
    <xf numFmtId="0" fontId="45" fillId="0" borderId="10" xfId="4" applyFont="1" applyFill="1" applyBorder="1" applyAlignment="1" applyProtection="1">
      <alignment horizontal="center" vertical="center"/>
      <protection locked="0"/>
    </xf>
    <xf numFmtId="0" fontId="45" fillId="0" borderId="11" xfId="4" applyFont="1" applyFill="1" applyBorder="1" applyAlignment="1" applyProtection="1">
      <alignment horizontal="center" vertical="center"/>
      <protection locked="0"/>
    </xf>
    <xf numFmtId="0" fontId="45" fillId="0" borderId="44" xfId="4" applyFont="1" applyFill="1" applyBorder="1" applyAlignment="1" applyProtection="1">
      <alignment horizontal="center" vertical="center"/>
      <protection locked="0"/>
    </xf>
    <xf numFmtId="0" fontId="45" fillId="0" borderId="61" xfId="4" applyFont="1" applyFill="1" applyBorder="1" applyAlignment="1" applyProtection="1">
      <alignment horizontal="center" vertical="center"/>
      <protection locked="0"/>
    </xf>
    <xf numFmtId="10" fontId="45" fillId="0" borderId="32" xfId="4" applyNumberFormat="1" applyFont="1" applyFill="1" applyBorder="1" applyAlignment="1" applyProtection="1">
      <alignment horizontal="center" vertical="center" wrapText="1"/>
      <protection locked="0"/>
    </xf>
    <xf numFmtId="10" fontId="45" fillId="0" borderId="33" xfId="4" applyNumberFormat="1" applyFont="1" applyFill="1" applyBorder="1" applyAlignment="1" applyProtection="1">
      <alignment horizontal="center" vertical="center" wrapText="1"/>
      <protection locked="0"/>
    </xf>
    <xf numFmtId="10" fontId="45" fillId="0" borderId="37" xfId="4" applyNumberFormat="1" applyFont="1" applyFill="1" applyBorder="1" applyAlignment="1" applyProtection="1">
      <alignment horizontal="center" vertical="center" wrapText="1"/>
      <protection locked="0"/>
    </xf>
    <xf numFmtId="10" fontId="45" fillId="0" borderId="34" xfId="4" applyNumberFormat="1" applyFont="1" applyFill="1" applyBorder="1" applyAlignment="1" applyProtection="1">
      <alignment horizontal="center" vertical="center" wrapText="1"/>
      <protection locked="0"/>
    </xf>
    <xf numFmtId="14" fontId="45" fillId="0" borderId="2" xfId="4" applyNumberFormat="1" applyFont="1" applyFill="1" applyBorder="1" applyAlignment="1" applyProtection="1">
      <alignment horizontal="center" vertical="center" wrapText="1"/>
      <protection locked="0"/>
    </xf>
    <xf numFmtId="0" fontId="45" fillId="0" borderId="9" xfId="4" applyFont="1" applyFill="1" applyBorder="1" applyAlignment="1" applyProtection="1">
      <alignment horizontal="center" vertical="center"/>
      <protection locked="0"/>
    </xf>
    <xf numFmtId="164" fontId="40" fillId="0" borderId="9" xfId="4" applyNumberFormat="1" applyFont="1" applyFill="1" applyBorder="1" applyAlignment="1" applyProtection="1">
      <alignment horizontal="center" vertical="center"/>
      <protection locked="0"/>
    </xf>
    <xf numFmtId="0" fontId="53" fillId="0" borderId="9" xfId="4" applyFont="1" applyBorder="1" applyAlignment="1" applyProtection="1">
      <alignment horizontal="center" vertical="center"/>
      <protection locked="0"/>
    </xf>
    <xf numFmtId="0" fontId="54" fillId="0" borderId="0" xfId="4" applyFont="1" applyProtection="1">
      <protection locked="0"/>
    </xf>
    <xf numFmtId="0" fontId="45" fillId="0" borderId="31" xfId="4" applyFont="1" applyFill="1" applyBorder="1" applyAlignment="1" applyProtection="1">
      <alignment horizontal="center" vertical="center"/>
      <protection locked="0"/>
    </xf>
    <xf numFmtId="175" fontId="45" fillId="0" borderId="31" xfId="4" applyNumberFormat="1" applyFont="1" applyFill="1" applyBorder="1" applyAlignment="1" applyProtection="1">
      <alignment horizontal="center" vertical="center"/>
      <protection locked="0"/>
    </xf>
    <xf numFmtId="0" fontId="45" fillId="0" borderId="43" xfId="4" applyFont="1" applyFill="1" applyBorder="1" applyAlignment="1" applyProtection="1">
      <alignment horizontal="center" vertical="center" wrapText="1"/>
      <protection locked="0"/>
    </xf>
    <xf numFmtId="0" fontId="45" fillId="0" borderId="32" xfId="4" applyFont="1" applyFill="1" applyBorder="1" applyAlignment="1" applyProtection="1">
      <alignment horizontal="center" vertical="center" wrapText="1"/>
    </xf>
    <xf numFmtId="0" fontId="45" fillId="0" borderId="33" xfId="4" applyFont="1" applyFill="1" applyBorder="1" applyAlignment="1" applyProtection="1">
      <alignment horizontal="center" vertical="center" wrapText="1"/>
    </xf>
    <xf numFmtId="0" fontId="45" fillId="0" borderId="34" xfId="4" applyFont="1" applyFill="1" applyBorder="1" applyAlignment="1" applyProtection="1">
      <alignment horizontal="center" vertical="center" wrapText="1"/>
    </xf>
    <xf numFmtId="0" fontId="45" fillId="0" borderId="7" xfId="4" applyFont="1" applyFill="1" applyBorder="1" applyAlignment="1" applyProtection="1">
      <alignment horizontal="center" vertical="center" wrapText="1"/>
      <protection locked="0"/>
    </xf>
    <xf numFmtId="0" fontId="45" fillId="0" borderId="1" xfId="4" applyFont="1" applyFill="1" applyBorder="1" applyAlignment="1" applyProtection="1">
      <alignment horizontal="center" vertical="center" wrapText="1"/>
      <protection locked="0"/>
    </xf>
    <xf numFmtId="0" fontId="45" fillId="0" borderId="20" xfId="4" applyFont="1" applyFill="1" applyBorder="1" applyAlignment="1" applyProtection="1">
      <alignment horizontal="center" vertical="center" wrapText="1"/>
      <protection locked="0"/>
    </xf>
    <xf numFmtId="0" fontId="45" fillId="0" borderId="62" xfId="4" applyFont="1" applyFill="1" applyBorder="1" applyAlignment="1" applyProtection="1">
      <alignment horizontal="center" vertical="center" wrapText="1"/>
      <protection locked="0"/>
    </xf>
    <xf numFmtId="0" fontId="55" fillId="0" borderId="42" xfId="4" applyFont="1" applyFill="1" applyBorder="1" applyAlignment="1" applyProtection="1">
      <alignment horizontal="center" vertical="center"/>
      <protection locked="0"/>
    </xf>
    <xf numFmtId="0" fontId="55" fillId="0" borderId="33" xfId="4" applyFont="1" applyFill="1" applyBorder="1" applyAlignment="1" applyProtection="1">
      <alignment horizontal="center" vertical="center"/>
      <protection locked="0"/>
    </xf>
    <xf numFmtId="0" fontId="55" fillId="0" borderId="37" xfId="4" applyFont="1" applyFill="1" applyBorder="1" applyAlignment="1" applyProtection="1">
      <alignment horizontal="center" vertical="center"/>
      <protection locked="0"/>
    </xf>
    <xf numFmtId="0" fontId="55" fillId="0" borderId="34" xfId="4" applyFont="1" applyFill="1" applyBorder="1" applyAlignment="1" applyProtection="1">
      <alignment horizontal="center" vertical="center"/>
      <protection locked="0"/>
    </xf>
    <xf numFmtId="10" fontId="45" fillId="0" borderId="20" xfId="4" applyNumberFormat="1" applyFont="1" applyFill="1" applyBorder="1" applyAlignment="1" applyProtection="1">
      <alignment horizontal="center" vertical="center" wrapText="1"/>
      <protection locked="0"/>
    </xf>
    <xf numFmtId="0" fontId="56" fillId="0" borderId="0" xfId="4" applyFont="1" applyProtection="1">
      <protection locked="0"/>
    </xf>
    <xf numFmtId="0" fontId="45" fillId="0" borderId="6" xfId="4" applyFont="1" applyFill="1" applyBorder="1" applyAlignment="1" applyProtection="1">
      <alignment horizontal="center" vertical="center"/>
      <protection locked="0"/>
    </xf>
    <xf numFmtId="175" fontId="45" fillId="0" borderId="6" xfId="4" applyNumberFormat="1" applyFont="1" applyFill="1" applyBorder="1" applyAlignment="1" applyProtection="1">
      <alignment horizontal="center" vertical="center"/>
      <protection locked="0"/>
    </xf>
    <xf numFmtId="0" fontId="45" fillId="0" borderId="4" xfId="4" applyFont="1" applyFill="1" applyBorder="1" applyAlignment="1" applyProtection="1">
      <alignment horizontal="center" vertical="center" wrapText="1"/>
      <protection locked="0"/>
    </xf>
    <xf numFmtId="0" fontId="45" fillId="0" borderId="35" xfId="4" applyFont="1" applyFill="1" applyBorder="1" applyAlignment="1" applyProtection="1">
      <alignment horizontal="center" vertical="center" wrapText="1"/>
    </xf>
    <xf numFmtId="0" fontId="45" fillId="0" borderId="52" xfId="4" applyFont="1" applyFill="1" applyBorder="1" applyAlignment="1" applyProtection="1">
      <alignment horizontal="center" vertical="center" wrapText="1"/>
    </xf>
    <xf numFmtId="0" fontId="45" fillId="0" borderId="36" xfId="4" applyFont="1" applyFill="1" applyBorder="1" applyAlignment="1" applyProtection="1">
      <alignment horizontal="center" vertical="center" wrapText="1"/>
    </xf>
    <xf numFmtId="0" fontId="45" fillId="0" borderId="53" xfId="4" applyFont="1" applyFill="1" applyBorder="1" applyAlignment="1" applyProtection="1">
      <alignment horizontal="center" vertical="center" wrapText="1"/>
      <protection locked="0"/>
    </xf>
    <xf numFmtId="0" fontId="45" fillId="0" borderId="38" xfId="4" applyFont="1" applyFill="1" applyBorder="1" applyAlignment="1" applyProtection="1">
      <alignment horizontal="center" vertical="center" wrapText="1"/>
      <protection locked="0"/>
    </xf>
    <xf numFmtId="0" fontId="45" fillId="0" borderId="54" xfId="4" applyFont="1" applyFill="1" applyBorder="1" applyAlignment="1" applyProtection="1">
      <alignment horizontal="center" vertical="center" wrapText="1"/>
      <protection locked="0"/>
    </xf>
    <xf numFmtId="0" fontId="45" fillId="0" borderId="60" xfId="4" applyFont="1" applyFill="1" applyBorder="1" applyAlignment="1" applyProtection="1">
      <alignment horizontal="center" vertical="center" wrapText="1"/>
    </xf>
    <xf numFmtId="164" fontId="45" fillId="0" borderId="57" xfId="4" applyNumberFormat="1" applyFont="1" applyFill="1" applyBorder="1" applyAlignment="1" applyProtection="1">
      <alignment horizontal="center" vertical="center" wrapText="1"/>
      <protection locked="0"/>
    </xf>
    <xf numFmtId="0" fontId="55" fillId="0" borderId="42" xfId="4" applyFont="1" applyFill="1" applyBorder="1" applyAlignment="1" applyProtection="1">
      <alignment horizontal="center" vertical="center" wrapText="1"/>
      <protection locked="0"/>
    </xf>
    <xf numFmtId="0" fontId="55" fillId="0" borderId="41" xfId="4" applyFont="1" applyFill="1" applyBorder="1" applyAlignment="1" applyProtection="1">
      <alignment horizontal="center" vertical="center" wrapText="1"/>
      <protection locked="0"/>
    </xf>
    <xf numFmtId="164" fontId="45" fillId="0" borderId="20" xfId="4" applyNumberFormat="1" applyFont="1" applyFill="1" applyBorder="1" applyAlignment="1" applyProtection="1">
      <alignment horizontal="center" vertical="center" wrapText="1"/>
      <protection locked="0"/>
    </xf>
    <xf numFmtId="0" fontId="55" fillId="0" borderId="56" xfId="4" applyFont="1" applyFill="1" applyBorder="1" applyAlignment="1" applyProtection="1">
      <alignment horizontal="center" vertical="center" wrapText="1"/>
    </xf>
    <xf numFmtId="164" fontId="45" fillId="0" borderId="9" xfId="4" applyNumberFormat="1" applyFont="1" applyFill="1" applyBorder="1" applyAlignment="1" applyProtection="1">
      <alignment horizontal="center" vertical="center" wrapText="1"/>
      <protection locked="0"/>
    </xf>
    <xf numFmtId="0" fontId="53" fillId="0" borderId="9" xfId="4" applyFont="1" applyBorder="1" applyAlignment="1" applyProtection="1">
      <alignment vertical="center"/>
      <protection locked="0"/>
    </xf>
    <xf numFmtId="0" fontId="45" fillId="0" borderId="9" xfId="4" applyFont="1" applyBorder="1" applyAlignment="1" applyProtection="1">
      <alignment horizontal="center" wrapText="1"/>
    </xf>
    <xf numFmtId="0" fontId="57" fillId="0" borderId="5" xfId="0" applyNumberFormat="1" applyFont="1" applyFill="1" applyBorder="1" applyAlignment="1" applyProtection="1">
      <alignment horizontal="center" vertical="top" wrapText="1"/>
      <protection locked="0"/>
    </xf>
    <xf numFmtId="0" fontId="57" fillId="0" borderId="6" xfId="0" applyNumberFormat="1" applyFont="1" applyFill="1" applyBorder="1" applyAlignment="1" applyProtection="1">
      <alignment horizontal="center" vertical="top" wrapText="1"/>
      <protection locked="0"/>
    </xf>
    <xf numFmtId="0" fontId="57" fillId="0" borderId="43" xfId="0" applyNumberFormat="1" applyFont="1" applyFill="1" applyBorder="1" applyAlignment="1" applyProtection="1">
      <alignment horizontal="center" vertical="top" wrapText="1"/>
      <protection locked="0"/>
    </xf>
    <xf numFmtId="0" fontId="57" fillId="0" borderId="39" xfId="0" applyNumberFormat="1" applyFont="1" applyFill="1" applyBorder="1" applyAlignment="1" applyProtection="1">
      <alignment horizontal="center" vertical="top" wrapText="1"/>
      <protection locked="0"/>
    </xf>
    <xf numFmtId="0" fontId="57" fillId="0" borderId="40" xfId="0" applyNumberFormat="1" applyFont="1" applyFill="1" applyBorder="1" applyAlignment="1" applyProtection="1">
      <alignment horizontal="center" vertical="top" wrapText="1"/>
      <protection locked="0"/>
    </xf>
    <xf numFmtId="0" fontId="57" fillId="0" borderId="4" xfId="0" applyNumberFormat="1" applyFont="1" applyFill="1" applyBorder="1" applyAlignment="1" applyProtection="1">
      <alignment horizontal="center" vertical="top" wrapText="1"/>
      <protection locked="0"/>
    </xf>
    <xf numFmtId="0" fontId="57" fillId="0" borderId="50" xfId="0" applyNumberFormat="1" applyFont="1" applyFill="1" applyBorder="1" applyAlignment="1" applyProtection="1">
      <alignment horizontal="center" vertical="top" wrapText="1"/>
      <protection locked="0"/>
    </xf>
    <xf numFmtId="0" fontId="57" fillId="0" borderId="57" xfId="0" applyNumberFormat="1" applyFont="1" applyFill="1" applyBorder="1" applyAlignment="1" applyProtection="1">
      <alignment horizontal="center" vertical="top" wrapText="1"/>
      <protection locked="0"/>
    </xf>
    <xf numFmtId="0" fontId="57" fillId="0" borderId="29" xfId="0" applyNumberFormat="1" applyFont="1" applyFill="1" applyBorder="1" applyAlignment="1" applyProtection="1">
      <alignment horizontal="center" vertical="top" wrapText="1"/>
      <protection locked="0"/>
    </xf>
    <xf numFmtId="0" fontId="57" fillId="0" borderId="30" xfId="0" applyNumberFormat="1" applyFont="1" applyFill="1" applyBorder="1" applyAlignment="1" applyProtection="1">
      <alignment horizontal="center" vertical="top" wrapText="1"/>
      <protection locked="0"/>
    </xf>
    <xf numFmtId="0" fontId="57" fillId="0" borderId="20" xfId="0" applyNumberFormat="1" applyFont="1" applyFill="1" applyBorder="1" applyAlignment="1" applyProtection="1">
      <alignment horizontal="center" vertical="top" wrapText="1"/>
      <protection locked="0"/>
    </xf>
    <xf numFmtId="0" fontId="57" fillId="0" borderId="55" xfId="0" applyNumberFormat="1" applyFont="1" applyFill="1" applyBorder="1" applyAlignment="1" applyProtection="1">
      <alignment horizontal="center" vertical="top" wrapText="1"/>
      <protection locked="0"/>
    </xf>
    <xf numFmtId="0" fontId="57" fillId="0" borderId="9" xfId="0" applyNumberFormat="1" applyFont="1" applyFill="1" applyBorder="1" applyAlignment="1" applyProtection="1">
      <alignment horizontal="center" vertical="top" wrapText="1"/>
      <protection locked="0"/>
    </xf>
    <xf numFmtId="0" fontId="57" fillId="0" borderId="0" xfId="4" applyFont="1" applyAlignment="1" applyProtection="1">
      <alignment vertical="top"/>
      <protection locked="0"/>
    </xf>
    <xf numFmtId="49" fontId="44" fillId="4" borderId="51" xfId="4" applyNumberFormat="1" applyFont="1" applyFill="1" applyBorder="1" applyAlignment="1" applyProtection="1">
      <alignment horizontal="center" vertical="center" wrapText="1"/>
      <protection locked="0"/>
    </xf>
    <xf numFmtId="0" fontId="44" fillId="4" borderId="31" xfId="4" applyFont="1" applyFill="1" applyBorder="1" applyAlignment="1" applyProtection="1">
      <alignment horizontal="center" vertical="center" wrapText="1"/>
      <protection locked="0"/>
    </xf>
    <xf numFmtId="0" fontId="58" fillId="4" borderId="31" xfId="4" applyFont="1" applyFill="1" applyBorder="1" applyAlignment="1" applyProtection="1">
      <alignment horizontal="center" vertical="center" wrapText="1"/>
      <protection locked="0"/>
    </xf>
    <xf numFmtId="0" fontId="58" fillId="4" borderId="31" xfId="4" applyNumberFormat="1" applyFont="1" applyFill="1" applyBorder="1" applyAlignment="1" applyProtection="1">
      <alignment horizontal="left" vertical="center" wrapText="1"/>
      <protection locked="0"/>
    </xf>
    <xf numFmtId="0" fontId="35" fillId="4" borderId="31" xfId="4" applyNumberFormat="1" applyFont="1" applyFill="1" applyBorder="1" applyAlignment="1" applyProtection="1">
      <alignment horizontal="center" vertical="center" wrapText="1"/>
      <protection locked="0"/>
    </xf>
    <xf numFmtId="0" fontId="35" fillId="4" borderId="40" xfId="4" applyFont="1" applyFill="1" applyBorder="1" applyAlignment="1" applyProtection="1">
      <alignment horizontal="center" vertical="center" wrapText="1"/>
    </xf>
    <xf numFmtId="4" fontId="35" fillId="0" borderId="51" xfId="4" applyNumberFormat="1" applyFont="1" applyFill="1" applyBorder="1" applyAlignment="1" applyProtection="1">
      <alignment horizontal="right" vertical="center" wrapText="1"/>
    </xf>
    <xf numFmtId="4" fontId="35" fillId="0" borderId="40" xfId="4" applyNumberFormat="1" applyFont="1" applyFill="1" applyBorder="1" applyAlignment="1" applyProtection="1">
      <alignment horizontal="right" vertical="center" wrapText="1"/>
    </xf>
    <xf numFmtId="49" fontId="59" fillId="4" borderId="51" xfId="4" applyNumberFormat="1" applyFont="1" applyFill="1" applyBorder="1" applyAlignment="1" applyProtection="1">
      <alignment horizontal="center" vertical="center" wrapText="1"/>
    </xf>
    <xf numFmtId="49" fontId="35" fillId="4" borderId="31" xfId="4" applyNumberFormat="1" applyFont="1" applyFill="1" applyBorder="1" applyAlignment="1" applyProtection="1">
      <alignment horizontal="center" vertical="center" wrapText="1"/>
    </xf>
    <xf numFmtId="10" fontId="44" fillId="4" borderId="43" xfId="10" applyNumberFormat="1" applyFont="1" applyFill="1" applyBorder="1" applyAlignment="1" applyProtection="1">
      <alignment horizontal="center" vertical="center" wrapText="1"/>
    </xf>
    <xf numFmtId="4" fontId="35" fillId="0" borderId="50" xfId="4" applyNumberFormat="1" applyFont="1" applyFill="1" applyBorder="1" applyAlignment="1" applyProtection="1">
      <alignment horizontal="right" vertical="center" wrapText="1"/>
    </xf>
    <xf numFmtId="49" fontId="59" fillId="5" borderId="18" xfId="4" applyNumberFormat="1" applyFont="1" applyFill="1" applyBorder="1" applyAlignment="1" applyProtection="1">
      <alignment horizontal="center" vertical="center" wrapText="1"/>
    </xf>
    <xf numFmtId="4" fontId="35" fillId="5" borderId="48" xfId="4" applyNumberFormat="1" applyFont="1" applyFill="1" applyBorder="1" applyAlignment="1" applyProtection="1">
      <alignment vertical="center" wrapText="1"/>
    </xf>
    <xf numFmtId="4" fontId="35" fillId="0" borderId="49" xfId="4" applyNumberFormat="1" applyFont="1" applyFill="1" applyBorder="1" applyAlignment="1" applyProtection="1">
      <alignment vertical="center" wrapText="1"/>
    </xf>
    <xf numFmtId="4" fontId="35" fillId="0" borderId="55" xfId="4" applyNumberFormat="1" applyFont="1" applyFill="1" applyBorder="1" applyAlignment="1" applyProtection="1">
      <alignment horizontal="right" vertical="center" wrapText="1"/>
    </xf>
    <xf numFmtId="167" fontId="44" fillId="0" borderId="18" xfId="10" applyNumberFormat="1" applyFont="1" applyFill="1" applyBorder="1" applyAlignment="1" applyProtection="1">
      <alignment horizontal="center" vertical="center" wrapText="1"/>
    </xf>
    <xf numFmtId="49" fontId="59" fillId="3" borderId="57" xfId="4" applyNumberFormat="1" applyFont="1" applyFill="1" applyBorder="1" applyAlignment="1" applyProtection="1">
      <alignment horizontal="center" vertical="center" wrapText="1"/>
    </xf>
    <xf numFmtId="4" fontId="60" fillId="3" borderId="29" xfId="4" applyNumberFormat="1" applyFont="1" applyFill="1" applyBorder="1" applyAlignment="1" applyProtection="1">
      <alignment horizontal="right" vertical="center" wrapText="1"/>
      <protection locked="0"/>
    </xf>
    <xf numFmtId="4" fontId="35" fillId="0" borderId="30" xfId="4" applyNumberFormat="1" applyFont="1" applyFill="1" applyBorder="1" applyAlignment="1" applyProtection="1">
      <alignment vertical="center" wrapText="1"/>
    </xf>
    <xf numFmtId="49" fontId="59" fillId="3" borderId="18" xfId="4" applyNumberFormat="1" applyFont="1" applyFill="1" applyBorder="1" applyAlignment="1" applyProtection="1">
      <alignment horizontal="center" vertical="center" wrapText="1"/>
    </xf>
    <xf numFmtId="49" fontId="44" fillId="3" borderId="51" xfId="4" applyNumberFormat="1" applyFont="1" applyFill="1" applyBorder="1" applyAlignment="1" applyProtection="1">
      <alignment horizontal="center" vertical="center" wrapText="1"/>
      <protection locked="0"/>
    </xf>
    <xf numFmtId="49" fontId="44" fillId="3" borderId="31" xfId="4" applyNumberFormat="1" applyFont="1" applyFill="1" applyBorder="1" applyAlignment="1" applyProtection="1">
      <alignment horizontal="center" vertical="center" wrapText="1"/>
      <protection locked="0"/>
    </xf>
    <xf numFmtId="49" fontId="35" fillId="5" borderId="31" xfId="4" applyNumberFormat="1" applyFont="1" applyFill="1" applyBorder="1" applyAlignment="1" applyProtection="1">
      <alignment horizontal="center" vertical="center" wrapText="1"/>
      <protection locked="0"/>
    </xf>
    <xf numFmtId="4" fontId="35" fillId="5" borderId="31" xfId="4" applyNumberFormat="1" applyFont="1" applyFill="1" applyBorder="1" applyAlignment="1" applyProtection="1">
      <alignment vertical="center" wrapText="1"/>
      <protection locked="0"/>
    </xf>
    <xf numFmtId="4" fontId="35" fillId="0" borderId="31" xfId="4" applyNumberFormat="1" applyFont="1" applyFill="1" applyBorder="1" applyAlignment="1" applyProtection="1">
      <alignment vertical="center" wrapText="1"/>
    </xf>
    <xf numFmtId="4" fontId="35" fillId="0" borderId="43" xfId="4" applyNumberFormat="1" applyFont="1" applyFill="1" applyBorder="1" applyAlignment="1" applyProtection="1">
      <alignment vertical="center" wrapText="1"/>
    </xf>
    <xf numFmtId="4" fontId="35" fillId="0" borderId="9" xfId="4" applyNumberFormat="1" applyFont="1" applyFill="1" applyBorder="1" applyAlignment="1" applyProtection="1">
      <alignment vertical="center" wrapText="1"/>
    </xf>
    <xf numFmtId="0" fontId="44" fillId="0" borderId="7" xfId="0" applyNumberFormat="1" applyFont="1" applyFill="1" applyBorder="1" applyAlignment="1" applyProtection="1">
      <alignment horizontal="right" vertical="center"/>
      <protection locked="0"/>
    </xf>
    <xf numFmtId="0" fontId="44" fillId="0" borderId="8" xfId="0" applyNumberFormat="1" applyFont="1" applyFill="1" applyBorder="1" applyAlignment="1" applyProtection="1">
      <alignment horizontal="right" vertical="center" wrapText="1"/>
      <protection locked="0"/>
    </xf>
    <xf numFmtId="0" fontId="61" fillId="0" borderId="8" xfId="0" applyNumberFormat="1" applyFont="1" applyFill="1" applyBorder="1" applyAlignment="1" applyProtection="1">
      <alignment horizontal="right" vertical="center" wrapText="1"/>
    </xf>
    <xf numFmtId="0" fontId="44" fillId="0" borderId="3" xfId="0" applyNumberFormat="1" applyFont="1" applyFill="1" applyBorder="1" applyAlignment="1" applyProtection="1">
      <alignment horizontal="right" vertical="center" wrapText="1"/>
      <protection locked="0"/>
    </xf>
    <xf numFmtId="4" fontId="44" fillId="0" borderId="35" xfId="0" applyNumberFormat="1" applyFont="1" applyFill="1" applyBorder="1" applyAlignment="1" applyProtection="1">
      <alignment horizontal="right" vertical="center" wrapText="1"/>
      <protection locked="0"/>
    </xf>
    <xf numFmtId="4" fontId="44" fillId="0" borderId="38" xfId="0" applyNumberFormat="1" applyFont="1" applyFill="1" applyBorder="1" applyAlignment="1" applyProtection="1">
      <alignment horizontal="right" vertical="center" wrapText="1"/>
      <protection locked="0"/>
    </xf>
    <xf numFmtId="4" fontId="44" fillId="0" borderId="36" xfId="0" applyNumberFormat="1" applyFont="1" applyFill="1" applyBorder="1" applyAlignment="1" applyProtection="1">
      <alignment horizontal="right" vertical="center" wrapText="1"/>
      <protection locked="0"/>
    </xf>
    <xf numFmtId="0" fontId="44" fillId="0" borderId="63" xfId="0" applyNumberFormat="1" applyFont="1" applyFill="1" applyBorder="1" applyAlignment="1" applyProtection="1">
      <alignment horizontal="right" vertical="center" wrapText="1"/>
      <protection locked="0"/>
    </xf>
    <xf numFmtId="0" fontId="44" fillId="0" borderId="38" xfId="0" applyNumberFormat="1" applyFont="1" applyFill="1" applyBorder="1" applyAlignment="1" applyProtection="1">
      <alignment horizontal="right" vertical="center" wrapText="1"/>
      <protection locked="0"/>
    </xf>
    <xf numFmtId="10" fontId="44" fillId="0" borderId="54" xfId="0" applyNumberFormat="1" applyFont="1" applyFill="1" applyBorder="1" applyAlignment="1" applyProtection="1">
      <alignment horizontal="center" vertical="center" wrapText="1"/>
      <protection locked="0"/>
    </xf>
    <xf numFmtId="4" fontId="44" fillId="0" borderId="64" xfId="0" applyNumberFormat="1" applyFont="1" applyFill="1" applyBorder="1" applyAlignment="1" applyProtection="1">
      <alignment horizontal="right" vertical="center" wrapText="1"/>
      <protection locked="0"/>
    </xf>
    <xf numFmtId="0" fontId="59" fillId="0" borderId="47" xfId="0" applyNumberFormat="1" applyFont="1" applyFill="1" applyBorder="1" applyAlignment="1" applyProtection="1">
      <alignment horizontal="right" vertical="center"/>
    </xf>
    <xf numFmtId="4" fontId="44" fillId="0" borderId="45" xfId="0" applyNumberFormat="1" applyFont="1" applyFill="1" applyBorder="1" applyAlignment="1" applyProtection="1">
      <alignment horizontal="right" vertical="center"/>
      <protection locked="0"/>
    </xf>
    <xf numFmtId="4" fontId="44" fillId="0" borderId="46" xfId="0" applyNumberFormat="1" applyFont="1" applyFill="1" applyBorder="1" applyAlignment="1" applyProtection="1">
      <alignment horizontal="right" vertical="center"/>
    </xf>
    <xf numFmtId="0" fontId="44" fillId="0" borderId="59" xfId="0" applyNumberFormat="1" applyFont="1" applyFill="1" applyBorder="1" applyAlignment="1" applyProtection="1">
      <alignment horizontal="right" vertical="center" wrapText="1"/>
      <protection locked="0"/>
    </xf>
    <xf numFmtId="4" fontId="44" fillId="0" borderId="58" xfId="0" applyNumberFormat="1" applyFont="1" applyFill="1" applyBorder="1" applyAlignment="1" applyProtection="1">
      <alignment horizontal="right" vertical="center"/>
    </xf>
    <xf numFmtId="167" fontId="44" fillId="0" borderId="59" xfId="0" applyNumberFormat="1" applyFont="1" applyFill="1" applyBorder="1" applyAlignment="1" applyProtection="1">
      <alignment horizontal="center" vertical="center"/>
    </xf>
    <xf numFmtId="0" fontId="59" fillId="0" borderId="47" xfId="0" applyNumberFormat="1" applyFont="1" applyFill="1" applyBorder="1" applyAlignment="1" applyProtection="1">
      <alignment horizontal="right" vertical="center"/>
      <protection locked="0"/>
    </xf>
    <xf numFmtId="0" fontId="44" fillId="0" borderId="8" xfId="0" applyNumberFormat="1" applyFont="1" applyFill="1" applyBorder="1" applyAlignment="1" applyProtection="1">
      <alignment horizontal="right" vertical="center"/>
      <protection locked="0"/>
    </xf>
    <xf numFmtId="4" fontId="44" fillId="0" borderId="8" xfId="0" applyNumberFormat="1" applyFont="1" applyFill="1" applyBorder="1" applyAlignment="1" applyProtection="1">
      <alignment horizontal="right" vertical="center"/>
      <protection locked="0"/>
    </xf>
    <xf numFmtId="4" fontId="44" fillId="0" borderId="8" xfId="0" applyNumberFormat="1" applyFont="1" applyFill="1" applyBorder="1" applyAlignment="1" applyProtection="1">
      <alignment horizontal="right" vertical="center"/>
    </xf>
    <xf numFmtId="4" fontId="44" fillId="0" borderId="3" xfId="0" applyNumberFormat="1" applyFont="1" applyFill="1" applyBorder="1" applyAlignment="1" applyProtection="1">
      <alignment horizontal="right" vertical="center"/>
    </xf>
    <xf numFmtId="0" fontId="62" fillId="0" borderId="9" xfId="0" applyFont="1" applyFill="1" applyBorder="1" applyAlignment="1">
      <alignment horizontal="right" vertical="center"/>
    </xf>
    <xf numFmtId="4" fontId="62" fillId="0" borderId="9" xfId="0" applyNumberFormat="1" applyFont="1" applyFill="1" applyBorder="1" applyAlignment="1">
      <alignment horizontal="right" vertical="center"/>
    </xf>
    <xf numFmtId="0" fontId="44" fillId="0" borderId="0" xfId="4" applyFont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45" fillId="0" borderId="5" xfId="4" applyFont="1" applyBorder="1" applyAlignment="1" applyProtection="1">
      <alignment horizontal="center" vertical="center" wrapText="1"/>
      <protection locked="0"/>
    </xf>
    <xf numFmtId="0" fontId="45" fillId="0" borderId="6" xfId="4" applyFont="1" applyBorder="1" applyAlignment="1" applyProtection="1">
      <alignment horizontal="center" vertical="center" wrapText="1"/>
      <protection locked="0"/>
    </xf>
    <xf numFmtId="165" fontId="45" fillId="0" borderId="6" xfId="4" applyNumberFormat="1" applyFont="1" applyBorder="1" applyAlignment="1" applyProtection="1">
      <alignment horizontal="center" vertical="center" wrapText="1"/>
      <protection locked="0"/>
    </xf>
    <xf numFmtId="164" fontId="45" fillId="0" borderId="6" xfId="4" applyNumberFormat="1" applyFont="1" applyBorder="1" applyAlignment="1" applyProtection="1">
      <alignment horizontal="center" vertical="center" wrapText="1"/>
      <protection locked="0"/>
    </xf>
    <xf numFmtId="0" fontId="45" fillId="0" borderId="4" xfId="4" applyFont="1" applyBorder="1" applyAlignment="1" applyProtection="1">
      <alignment horizontal="center" vertical="center" wrapText="1"/>
      <protection locked="0"/>
    </xf>
    <xf numFmtId="0" fontId="35" fillId="0" borderId="0" xfId="4" applyFont="1" applyAlignment="1" applyProtection="1">
      <alignment horizontal="center" vertical="center"/>
      <protection locked="0"/>
    </xf>
    <xf numFmtId="0" fontId="35" fillId="0" borderId="0" xfId="4" quotePrefix="1" applyFont="1" applyProtection="1">
      <protection locked="0"/>
    </xf>
    <xf numFmtId="14" fontId="35" fillId="0" borderId="0" xfId="4" applyNumberFormat="1" applyFont="1" applyProtection="1">
      <protection locked="0"/>
    </xf>
    <xf numFmtId="0" fontId="44" fillId="4" borderId="9" xfId="4" applyFont="1" applyFill="1" applyBorder="1" applyAlignment="1" applyProtection="1">
      <alignment horizontal="center" vertical="center" wrapText="1"/>
    </xf>
    <xf numFmtId="0" fontId="35" fillId="5" borderId="9" xfId="4" applyFont="1" applyFill="1" applyBorder="1" applyAlignment="1" applyProtection="1">
      <alignment horizontal="center" vertical="center" wrapText="1"/>
      <protection locked="0"/>
    </xf>
    <xf numFmtId="0" fontId="35" fillId="4" borderId="9" xfId="4" applyFont="1" applyFill="1" applyBorder="1" applyAlignment="1" applyProtection="1">
      <alignment horizontal="left" vertical="center" wrapText="1"/>
      <protection locked="0"/>
    </xf>
    <xf numFmtId="2" fontId="35" fillId="0" borderId="9" xfId="4" applyNumberFormat="1" applyFont="1" applyBorder="1" applyAlignment="1" applyProtection="1">
      <alignment horizontal="center" vertical="center" wrapText="1"/>
    </xf>
    <xf numFmtId="169" fontId="35" fillId="3" borderId="9" xfId="4" applyNumberFormat="1" applyFont="1" applyFill="1" applyBorder="1" applyAlignment="1" applyProtection="1">
      <alignment horizontal="right" vertical="center" wrapText="1"/>
      <protection locked="0"/>
    </xf>
    <xf numFmtId="0" fontId="35" fillId="3" borderId="9" xfId="4" applyFont="1" applyFill="1" applyBorder="1" applyAlignment="1" applyProtection="1">
      <alignment horizontal="center" vertical="center" wrapText="1"/>
      <protection locked="0"/>
    </xf>
    <xf numFmtId="0" fontId="44" fillId="4" borderId="9" xfId="4" applyNumberFormat="1" applyFont="1" applyFill="1" applyBorder="1" applyAlignment="1" applyProtection="1">
      <alignment horizontal="center" vertical="center" wrapText="1"/>
    </xf>
    <xf numFmtId="0" fontId="44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8" xfId="0" applyNumberFormat="1" applyFont="1" applyFill="1" applyBorder="1" applyAlignment="1" applyProtection="1">
      <alignment horizontal="center" vertical="center" wrapText="1"/>
      <protection locked="0"/>
    </xf>
    <xf numFmtId="2" fontId="44" fillId="0" borderId="8" xfId="0" applyNumberFormat="1" applyFont="1" applyFill="1" applyBorder="1" applyAlignment="1" applyProtection="1">
      <alignment horizontal="center" vertical="center" wrapText="1"/>
      <protection locked="0"/>
    </xf>
    <xf numFmtId="169" fontId="44" fillId="0" borderId="8" xfId="0" applyNumberFormat="1" applyFont="1" applyFill="1" applyBorder="1" applyAlignment="1" applyProtection="1">
      <alignment horizontal="right" vertical="center" wrapText="1"/>
      <protection locked="0"/>
    </xf>
    <xf numFmtId="0" fontId="44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NumberFormat="1" applyFont="1"/>
  </cellXfs>
  <cellStyles count="12">
    <cellStyle name="ColLevel_2" xfId="8"/>
    <cellStyle name="Excel Built-in Normal" xfId="2"/>
    <cellStyle name="Normal_Speca_template_final1" xfId="11"/>
    <cellStyle name="Денежный 2" xfId="5"/>
    <cellStyle name="Обычный" xfId="0" builtinId="0"/>
    <cellStyle name="Обычный 2" xfId="1"/>
    <cellStyle name="Обычный 3" xfId="3"/>
    <cellStyle name="Обычный 4" xfId="4"/>
    <cellStyle name="Обычный 5" xfId="7"/>
    <cellStyle name="Обычный 6" xfId="9"/>
    <cellStyle name="Процентный" xfId="10" builtinId="5"/>
    <cellStyle name="Процентный 2" xfId="6"/>
  </cellStyles>
  <dxfs count="122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169" formatCode="#,##0.00\ [$₽-419]_-;[Red]\-#,##0.00\ [$₽-419]_-;&quot;-&quot;??\ [$₽-419]_-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ont>
        <b/>
        <i val="0"/>
      </font>
      <fill>
        <patternFill>
          <bgColor rgb="FFFFCCCC"/>
        </patternFill>
      </fill>
    </dxf>
    <dxf>
      <font>
        <color rgb="FF7030A0"/>
      </font>
    </dxf>
    <dxf>
      <font>
        <color rgb="FF0070C0"/>
      </font>
    </dxf>
    <dxf>
      <font>
        <color rgb="FF7030A0"/>
      </font>
    </dxf>
    <dxf>
      <font>
        <color rgb="FF0070C0"/>
      </font>
    </dxf>
    <dxf>
      <font>
        <color theme="0" tint="-0.34998626667073579"/>
      </font>
    </dxf>
    <dxf>
      <numFmt numFmtId="180" formatCode="#,##0.00\ &quot;$&quot;_-;[Red]\-#,##0.00\ &quot;$&quot;_-;&quot;-&quot;??\ &quot;$&quot;_-"/>
    </dxf>
    <dxf>
      <numFmt numFmtId="181" formatCode="#,##0.00\ [$€-1]_-;[Red]\-#,##0.00\ [$€-1]_-;&quot;-&quot;??\ [$€-1]_-"/>
    </dxf>
    <dxf>
      <numFmt numFmtId="169" formatCode="#,##0.00\ [$₽-419]_-;[Red]\-#,##0.00\ [$₽-419]_-;&quot;-&quot;??\ [$₽-419]_-"/>
    </dxf>
    <dxf>
      <fill>
        <patternFill>
          <bgColor rgb="FFFFCCCC"/>
        </patternFill>
      </fill>
    </dxf>
    <dxf>
      <font>
        <b/>
        <i val="0"/>
      </font>
    </dxf>
    <dxf>
      <font>
        <b val="0"/>
        <i/>
        <u/>
      </font>
    </dxf>
    <dxf>
      <fill>
        <patternFill>
          <bgColor rgb="FFFFCCCC"/>
        </patternFill>
      </fill>
    </dxf>
    <dxf>
      <numFmt numFmtId="180" formatCode="#,##0.00\ &quot;$&quot;_-;[Red]\-#,##0.00\ &quot;$&quot;_-;&quot;-&quot;??\ &quot;$&quot;_-"/>
    </dxf>
    <dxf>
      <numFmt numFmtId="169" formatCode="#,##0.00\ [$₽-419]_-;[Red]\-#,##0.00\ [$₽-419]_-;&quot;-&quot;??\ [$₽-419]_-"/>
    </dxf>
    <dxf>
      <numFmt numFmtId="182" formatCode="&quot;&quot;"/>
    </dxf>
    <dxf>
      <numFmt numFmtId="181" formatCode="#,##0.00\ [$€-1]_-;[Red]\-#,##0.00\ [$€-1]_-;&quot;-&quot;??\ [$€-1]_-"/>
    </dxf>
    <dxf>
      <numFmt numFmtId="183" formatCode="#,##0.00\ [$₽-419];[Red]\-#,##0.00\ [$₽-419]"/>
    </dxf>
    <dxf>
      <numFmt numFmtId="184" formatCode="#,##0.00\ [$€-1]_ ;[Red]\-#,##0.00\ [$€-1]\ "/>
    </dxf>
    <dxf>
      <numFmt numFmtId="180" formatCode="#,##0.00\ &quot;$&quot;_-;[Red]\-#,##0.00\ &quot;$&quot;_-;&quot;-&quot;??\ &quot;$&quot;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auto="1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auto="1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auto="1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167" formatCode="0.00%;[Red]\-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auto="1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auto="1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auto="1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FFF2E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9" formatCode="#,##0.00\ [$₽-419]_-;[Red]\-#,##0.00\ [$₽-419]_-;&quot;-&quot;??\ [$₽-419]_-"/>
      <fill>
        <patternFill patternType="solid">
          <fgColor indexed="64"/>
          <bgColor rgb="FFFFF2E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F1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EDF7E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EDF7E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name val="Century Gothic"/>
        <scheme val="none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name val="Century Gothic"/>
        <scheme val="none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sz val="10"/>
        <color theme="1"/>
        <name val="Centur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solid">
          <fgColor indexed="64"/>
          <bgColor rgb="FFEDF7E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solid">
          <fgColor indexed="64"/>
          <bgColor rgb="FFEDF7E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30" formatCode="@"/>
      <fill>
        <patternFill patternType="solid">
          <fgColor indexed="64"/>
          <bgColor rgb="FFEDF7E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sz val="10"/>
        <name val="Century Gothic"/>
        <scheme val="none"/>
      </font>
      <numFmt numFmtId="30" formatCode="@"/>
      <fill>
        <patternFill patternType="solid">
          <fgColor indexed="64"/>
          <bgColor rgb="FFFFF2E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sz val="10"/>
        <name val="Century Gothic"/>
        <scheme val="none"/>
      </font>
      <numFmt numFmtId="30" formatCode="@"/>
      <fill>
        <patternFill patternType="solid">
          <fgColor indexed="64"/>
          <bgColor rgb="FFFFF2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Century Gothic"/>
        <scheme val="none"/>
      </font>
      <numFmt numFmtId="30" formatCode="@"/>
      <fill>
        <patternFill patternType="solid">
          <fgColor indexed="64"/>
          <bgColor rgb="FFFFF2E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sz val="10"/>
        <name val="Century Gothic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  <protection locked="1" hidden="0"/>
    </dxf>
    <dxf>
      <font>
        <sz val="10"/>
        <color rgb="FF000000"/>
        <name val="Century Gothic"/>
        <scheme val="none"/>
      </font>
      <numFmt numFmtId="4" formatCode="#,##0.00"/>
      <fill>
        <patternFill patternType="solid">
          <fgColor indexed="64"/>
          <bgColor rgb="FFFFF2E5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Century Gothic"/>
        <scheme val="none"/>
      </font>
      <numFmt numFmtId="30" formatCode="@"/>
      <fill>
        <patternFill patternType="solid">
          <fgColor indexed="64"/>
          <bgColor rgb="FFFFF2E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7" formatCode="0.00%;[Red]\-0.00%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Century Gothic"/>
        <scheme val="none"/>
      </font>
      <numFmt numFmtId="30" formatCode="@"/>
      <fill>
        <patternFill patternType="solid">
          <fgColor indexed="64"/>
          <bgColor rgb="FFEDF7EF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sz val="10"/>
        <name val="Century Gothic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right style="medium">
          <color indexed="64"/>
        </right>
        <vertical/>
      </border>
      <protection locked="1" hidden="0"/>
    </dxf>
    <dxf>
      <font>
        <sz val="10"/>
        <color rgb="FF000000"/>
        <name val="Century Gothic"/>
        <scheme val="none"/>
      </font>
      <numFmt numFmtId="4" formatCode="#,##0.00"/>
      <fill>
        <patternFill patternType="solid">
          <fgColor indexed="64"/>
          <bgColor rgb="FFEDF7EF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Century Gothic"/>
        <scheme val="none"/>
      </font>
      <numFmt numFmtId="30" formatCode="@"/>
      <fill>
        <patternFill patternType="solid">
          <fgColor indexed="64"/>
          <bgColor rgb="FFEDF7E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4" formatCode="0.00%"/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30" formatCode="@"/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30" formatCode="@"/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Century Gothic"/>
        <scheme val="none"/>
      </font>
      <numFmt numFmtId="30" formatCode="@"/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sz val="10"/>
        <name val="Century Gothic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sz val="10"/>
        <name val="Century Gothic"/>
        <scheme val="none"/>
      </font>
      <numFmt numFmtId="0" formatCode="General"/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10"/>
        <color rgb="FF222222"/>
        <name val="Century Gothic"/>
        <scheme val="none"/>
      </font>
      <numFmt numFmtId="0" formatCode="General"/>
      <fill>
        <patternFill patternType="solid">
          <fgColor indexed="64"/>
          <bgColor rgb="FFF1F5F9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10"/>
        <color rgb="FF222222"/>
        <name val="Century Gothic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sz val="10"/>
        <name val="Century Gothic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sz val="10"/>
        <name val="Century Gothic"/>
        <scheme val="none"/>
      </font>
      <numFmt numFmtId="30" formatCode="@"/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font>
        <b/>
        <strike val="0"/>
        <outline val="0"/>
        <shadow val="0"/>
        <u val="none"/>
        <name val="Century Gothic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name val="Century Gothic"/>
        <scheme val="none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</font>
      <numFmt numFmtId="0" formatCode="General"/>
    </dxf>
    <dxf>
      <font>
        <b val="0"/>
      </font>
    </dxf>
    <dxf>
      <font>
        <b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Стиль таблицы 1" pivot="0" count="1">
      <tableStyleElement type="wholeTable" dxfId="121"/>
    </tableStyle>
  </tableStyles>
  <colors>
    <mruColors>
      <color rgb="FFFFCCCC"/>
      <color rgb="FFF1F5F9"/>
      <color rgb="FFEDF7EF"/>
      <color rgb="FFCCFFCC"/>
      <color rgb="FFFF9999"/>
      <color rgb="FFFF3300"/>
      <color rgb="FFFFFFCC"/>
      <color rgb="FFFF5050"/>
      <color rgb="FFCCFF99"/>
      <color rgb="FFFFF2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Drop" dropStyle="combo" dx="16" fmlaRange="Служебный!$A$26:$A$30" noThreeD="1" sel="5" val="0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16</xdr:row>
      <xdr:rowOff>0</xdr:rowOff>
    </xdr:from>
    <xdr:to>
      <xdr:col>9</xdr:col>
      <xdr:colOff>470919</xdr:colOff>
      <xdr:row>23</xdr:row>
      <xdr:rowOff>158499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0" y="2933700"/>
          <a:ext cx="1438659" cy="14386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982980</xdr:colOff>
          <xdr:row>12</xdr:row>
          <xdr:rowOff>30480</xdr:rowOff>
        </xdr:from>
        <xdr:to>
          <xdr:col>2</xdr:col>
          <xdr:colOff>1630680</xdr:colOff>
          <xdr:row>14</xdr:row>
          <xdr:rowOff>320040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Заменить кириллицу на латиницу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2156460</xdr:colOff>
          <xdr:row>12</xdr:row>
          <xdr:rowOff>38100</xdr:rowOff>
        </xdr:from>
        <xdr:to>
          <xdr:col>3</xdr:col>
          <xdr:colOff>3345180</xdr:colOff>
          <xdr:row>14</xdr:row>
          <xdr:rowOff>320040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служебные символы и лишние пробелы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22</xdr:row>
          <xdr:rowOff>22860</xdr:rowOff>
        </xdr:from>
        <xdr:to>
          <xdr:col>1</xdr:col>
          <xdr:colOff>632460</xdr:colOff>
          <xdr:row>22</xdr:row>
          <xdr:rowOff>175260</xdr:rowOff>
        </xdr:to>
        <xdr:sp macro="" textlink="">
          <xdr:nvSpPr>
            <xdr:cNvPr id="2060" name="Кнопка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 стр.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670560</xdr:colOff>
          <xdr:row>22</xdr:row>
          <xdr:rowOff>22860</xdr:rowOff>
        </xdr:from>
        <xdr:to>
          <xdr:col>1</xdr:col>
          <xdr:colOff>1219200</xdr:colOff>
          <xdr:row>22</xdr:row>
          <xdr:rowOff>175260</xdr:rowOff>
        </xdr:to>
        <xdr:sp macro="" textlink="">
          <xdr:nvSpPr>
            <xdr:cNvPr id="2063" name="Кнопка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+20 стр.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14</xdr:row>
          <xdr:rowOff>175260</xdr:rowOff>
        </xdr:from>
        <xdr:to>
          <xdr:col>1</xdr:col>
          <xdr:colOff>632460</xdr:colOff>
          <xdr:row>14</xdr:row>
          <xdr:rowOff>327660</xdr:rowOff>
        </xdr:to>
        <xdr:sp macro="" textlink="">
          <xdr:nvSpPr>
            <xdr:cNvPr id="2822" name="Кнопка 12" hidden="1">
              <a:extLst>
                <a:ext uri="{63B3BB69-23CF-44E3-9099-C40C66FF867C}">
                  <a14:compatExt spid="_x0000_s2822"/>
                </a:ext>
                <a:ext uri="{FF2B5EF4-FFF2-40B4-BE49-F238E27FC236}">
                  <a16:creationId xmlns:a16="http://schemas.microsoft.com/office/drawing/2014/main" id="{00000000-0008-0000-0300-00000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 стр.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14</xdr:row>
          <xdr:rowOff>175260</xdr:rowOff>
        </xdr:from>
        <xdr:to>
          <xdr:col>1</xdr:col>
          <xdr:colOff>1226820</xdr:colOff>
          <xdr:row>14</xdr:row>
          <xdr:rowOff>327660</xdr:rowOff>
        </xdr:to>
        <xdr:sp macro="" textlink="">
          <xdr:nvSpPr>
            <xdr:cNvPr id="2823" name="Кнопка 12" hidden="1">
              <a:extLst>
                <a:ext uri="{63B3BB69-23CF-44E3-9099-C40C66FF867C}">
                  <a14:compatExt spid="_x0000_s2823"/>
                </a:ext>
                <a:ext uri="{FF2B5EF4-FFF2-40B4-BE49-F238E27FC236}">
                  <a16:creationId xmlns:a16="http://schemas.microsoft.com/office/drawing/2014/main" id="{00000000-0008-0000-0300-00000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+20 стр.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14</xdr:col>
      <xdr:colOff>7620</xdr:colOff>
      <xdr:row>2</xdr:row>
      <xdr:rowOff>7620</xdr:rowOff>
    </xdr:from>
    <xdr:to>
      <xdr:col>17</xdr:col>
      <xdr:colOff>7620</xdr:colOff>
      <xdr:row>11</xdr:row>
      <xdr:rowOff>175260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рез_2_Производитель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рез_2_Производител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92500" y="365760"/>
              <a:ext cx="3009900" cy="17983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 fPrintsWithSheet="0"/>
  </xdr:twoCellAnchor>
  <xdr:twoCellAnchor editAs="absolute">
    <xdr:from>
      <xdr:col>9</xdr:col>
      <xdr:colOff>0</xdr:colOff>
      <xdr:row>2</xdr:row>
      <xdr:rowOff>0</xdr:rowOff>
    </xdr:from>
    <xdr:to>
      <xdr:col>12</xdr:col>
      <xdr:colOff>485140</xdr:colOff>
      <xdr:row>12</xdr:row>
      <xdr:rowOff>0</xdr:rowOff>
    </xdr:to>
    <xdr:grpSp>
      <xdr:nvGrpSpPr>
        <xdr:cNvPr id="6" name="Панель управления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11582400" y="358140"/>
          <a:ext cx="3175000" cy="1813560"/>
          <a:chOff x="11547359" y="42441"/>
          <a:chExt cx="3071839" cy="1261413"/>
        </a:xfrm>
      </xdr:grpSpPr>
      <xdr:sp macro="" textlink="">
        <xdr:nvSpPr>
          <xdr:cNvPr id="3" name="Доска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1547359" y="42441"/>
            <a:ext cx="3071839" cy="1261413"/>
          </a:xfrm>
          <a:prstGeom prst="roundRect">
            <a:avLst>
              <a:gd name="adj" fmla="val 0"/>
            </a:avLst>
          </a:prstGeom>
          <a:solidFill>
            <a:srgbClr val="FFFFFF"/>
          </a:solidFill>
          <a:ln w="12700" cmpd="thinThick">
            <a:solidFill>
              <a:srgbClr val="000000"/>
            </a:solidFill>
            <a:prstDash val="solid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969" name="Кнопка: в word" hidden="1">
                <a:extLst>
                  <a:ext uri="{63B3BB69-23CF-44E3-9099-C40C66FF867C}">
                    <a14:compatExt spid="_x0000_s12969"/>
                  </a:ext>
                  <a:ext uri="{FF2B5EF4-FFF2-40B4-BE49-F238E27FC236}">
                    <a16:creationId xmlns:a16="http://schemas.microsoft.com/office/drawing/2014/main" id="{00000000-0008-0000-0300-0000A9320000}"/>
                  </a:ext>
                </a:extLst>
              </xdr:cNvPr>
              <xdr:cNvSpPr/>
            </xdr:nvSpPr>
            <xdr:spPr bwMode="auto">
              <a:xfrm>
                <a:off x="13847552" y="752648"/>
                <a:ext cx="685634" cy="2226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в Word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970" name="Кнопка: в excel" hidden="1">
                <a:extLst>
                  <a:ext uri="{63B3BB69-23CF-44E3-9099-C40C66FF867C}">
                    <a14:compatExt spid="_x0000_s12970"/>
                  </a:ext>
                  <a:ext uri="{FF2B5EF4-FFF2-40B4-BE49-F238E27FC236}">
                    <a16:creationId xmlns:a16="http://schemas.microsoft.com/office/drawing/2014/main" id="{00000000-0008-0000-0300-0000AA320000}"/>
                  </a:ext>
                </a:extLst>
              </xdr:cNvPr>
              <xdr:cNvSpPr/>
            </xdr:nvSpPr>
            <xdr:spPr bwMode="auto">
              <a:xfrm>
                <a:off x="13132428" y="752648"/>
                <a:ext cx="670890" cy="2226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в Excel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971" name="Кнопка: в 1С" hidden="1">
                <a:extLst>
                  <a:ext uri="{63B3BB69-23CF-44E3-9099-C40C66FF867C}">
                    <a14:compatExt spid="_x0000_s12971"/>
                  </a:ext>
                  <a:ext uri="{FF2B5EF4-FFF2-40B4-BE49-F238E27FC236}">
                    <a16:creationId xmlns:a16="http://schemas.microsoft.com/office/drawing/2014/main" id="{00000000-0008-0000-0300-0000AB320000}"/>
                  </a:ext>
                </a:extLst>
              </xdr:cNvPr>
              <xdr:cNvSpPr/>
            </xdr:nvSpPr>
            <xdr:spPr bwMode="auto">
              <a:xfrm>
                <a:off x="13132428" y="1007051"/>
                <a:ext cx="1393386" cy="2226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C0C0C0"/>
                    </a:solidFill>
                    <a:latin typeface="Calibri"/>
                    <a:cs typeface="Calibri"/>
                  </a:rPr>
                  <a:t>форма экспорта в 1С</a:t>
                </a:r>
              </a:p>
            </xdr:txBody>
          </xdr:sp>
        </mc:Choice>
        <mc:Fallback/>
      </mc:AlternateContent>
      <xdr:sp macro="" textlink="">
        <xdr:nvSpPr>
          <xdr:cNvPr id="4" name="Надпись: экспортировать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3131430" y="352137"/>
            <a:ext cx="1393917" cy="224775"/>
          </a:xfrm>
          <a:prstGeom prst="rect">
            <a:avLst/>
          </a:prstGeom>
          <a:solidFill>
            <a:schemeClr val="lt1"/>
          </a:solidFill>
          <a:ln w="1270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ru-RU" sz="1000" b="1">
                <a:latin typeface="Century" panose="02040604050505020304" pitchFamily="18" charset="0"/>
              </a:rPr>
              <a:t>ЭКСПОРТ РАСЧЁТА: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5" name="Колонки таблицы КП">
                <a:extLst>
                  <a:ext uri="{FF2B5EF4-FFF2-40B4-BE49-F238E27FC236}">
                    <a16:creationId xmlns:a16="http://schemas.microsoft.com/office/drawing/2014/main" id="{00000000-0008-0000-0300-000005000000}"/>
                  </a:ext>
                </a:extLst>
              </xdr:cNvPr>
              <xdr:cNvGrpSpPr/>
            </xdr:nvGrpSpPr>
            <xdr:grpSpPr>
              <a:xfrm>
                <a:off x="11643200" y="95441"/>
                <a:ext cx="1393386" cy="1160712"/>
                <a:chOff x="11643200" y="95441"/>
                <a:chExt cx="1393386" cy="1160712"/>
              </a:xfrm>
            </xdr:grpSpPr>
            <xdr:sp macro="" textlink="">
              <xdr:nvSpPr>
                <xdr:cNvPr id="12973" name="Срок доставки" descr="10" hidden="1">
                  <a:extLst>
                    <a:ext uri="{63B3BB69-23CF-44E3-9099-C40C66FF867C}">
                      <a14:compatExt spid="_x0000_s12973"/>
                    </a:ext>
                    <a:ext uri="{FF2B5EF4-FFF2-40B4-BE49-F238E27FC236}">
                      <a16:creationId xmlns:a16="http://schemas.microsoft.com/office/drawing/2014/main" id="{00000000-0008-0000-0300-0000AD320000}"/>
                    </a:ext>
                  </a:extLst>
                </xdr:cNvPr>
                <xdr:cNvSpPr/>
              </xdr:nvSpPr>
              <xdr:spPr bwMode="auto">
                <a:xfrm>
                  <a:off x="11687434" y="1065352"/>
                  <a:ext cx="1297545" cy="15370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Срок доставки</a:t>
                  </a:r>
                </a:p>
              </xdr:txBody>
            </xdr:sp>
            <xdr:sp macro="" textlink="">
              <xdr:nvSpPr>
                <xdr:cNvPr id="12974" name="НДС" descr="9" hidden="1">
                  <a:extLst>
                    <a:ext uri="{63B3BB69-23CF-44E3-9099-C40C66FF867C}">
                      <a14:compatExt spid="_x0000_s12974"/>
                    </a:ext>
                    <a:ext uri="{FF2B5EF4-FFF2-40B4-BE49-F238E27FC236}">
                      <a16:creationId xmlns:a16="http://schemas.microsoft.com/office/drawing/2014/main" id="{00000000-0008-0000-0300-0000AE320000}"/>
                    </a:ext>
                  </a:extLst>
                </xdr:cNvPr>
                <xdr:cNvSpPr/>
              </xdr:nvSpPr>
              <xdr:spPr bwMode="auto">
                <a:xfrm>
                  <a:off x="11687434" y="964651"/>
                  <a:ext cx="1297545" cy="15370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НДС</a:t>
                  </a:r>
                </a:p>
              </xdr:txBody>
            </xdr:sp>
            <xdr:sp macro="" textlink="">
              <xdr:nvSpPr>
                <xdr:cNvPr id="12975" name="Сумма" descr="8" hidden="1">
                  <a:extLst>
                    <a:ext uri="{63B3BB69-23CF-44E3-9099-C40C66FF867C}">
                      <a14:compatExt spid="_x0000_s12975"/>
                    </a:ext>
                    <a:ext uri="{FF2B5EF4-FFF2-40B4-BE49-F238E27FC236}">
                      <a16:creationId xmlns:a16="http://schemas.microsoft.com/office/drawing/2014/main" id="{00000000-0008-0000-0300-0000AF320000}"/>
                    </a:ext>
                  </a:extLst>
                </xdr:cNvPr>
                <xdr:cNvSpPr/>
              </xdr:nvSpPr>
              <xdr:spPr bwMode="auto">
                <a:xfrm>
                  <a:off x="11687434" y="863950"/>
                  <a:ext cx="1297545" cy="15370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Сумма</a:t>
                  </a:r>
                </a:p>
              </xdr:txBody>
            </xdr:sp>
            <xdr:sp macro="" textlink="">
              <xdr:nvSpPr>
                <xdr:cNvPr id="12976" name="Цена" descr="7" hidden="1">
                  <a:extLst>
                    <a:ext uri="{63B3BB69-23CF-44E3-9099-C40C66FF867C}">
                      <a14:compatExt spid="_x0000_s12976"/>
                    </a:ext>
                    <a:ext uri="{FF2B5EF4-FFF2-40B4-BE49-F238E27FC236}">
                      <a16:creationId xmlns:a16="http://schemas.microsoft.com/office/drawing/2014/main" id="{00000000-0008-0000-0300-0000B0320000}"/>
                    </a:ext>
                  </a:extLst>
                </xdr:cNvPr>
                <xdr:cNvSpPr/>
              </xdr:nvSpPr>
              <xdr:spPr bwMode="auto">
                <a:xfrm>
                  <a:off x="11687434" y="757949"/>
                  <a:ext cx="1297545" cy="15370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Цена</a:t>
                  </a:r>
                </a:p>
              </xdr:txBody>
            </xdr:sp>
            <xdr:sp macro="" textlink="">
              <xdr:nvSpPr>
                <xdr:cNvPr id="12977" name="Ед. изм." descr="6" hidden="1">
                  <a:extLst>
                    <a:ext uri="{63B3BB69-23CF-44E3-9099-C40C66FF867C}">
                      <a14:compatExt spid="_x0000_s12977"/>
                    </a:ext>
                    <a:ext uri="{FF2B5EF4-FFF2-40B4-BE49-F238E27FC236}">
                      <a16:creationId xmlns:a16="http://schemas.microsoft.com/office/drawing/2014/main" id="{00000000-0008-0000-0300-0000B1320000}"/>
                    </a:ext>
                  </a:extLst>
                </xdr:cNvPr>
                <xdr:cNvSpPr/>
              </xdr:nvSpPr>
              <xdr:spPr bwMode="auto">
                <a:xfrm>
                  <a:off x="11687434" y="657248"/>
                  <a:ext cx="1297545" cy="15370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Ед. изм.</a:t>
                  </a:r>
                </a:p>
              </xdr:txBody>
            </xdr:sp>
            <xdr:sp macro="" textlink="">
              <xdr:nvSpPr>
                <xdr:cNvPr id="12978" name="Кол-во" descr="5" hidden="1">
                  <a:extLst>
                    <a:ext uri="{63B3BB69-23CF-44E3-9099-C40C66FF867C}">
                      <a14:compatExt spid="_x0000_s12978"/>
                    </a:ext>
                    <a:ext uri="{FF2B5EF4-FFF2-40B4-BE49-F238E27FC236}">
                      <a16:creationId xmlns:a16="http://schemas.microsoft.com/office/drawing/2014/main" id="{00000000-0008-0000-0300-0000B2320000}"/>
                    </a:ext>
                  </a:extLst>
                </xdr:cNvPr>
                <xdr:cNvSpPr/>
              </xdr:nvSpPr>
              <xdr:spPr bwMode="auto">
                <a:xfrm>
                  <a:off x="11687434" y="556546"/>
                  <a:ext cx="1297545" cy="15370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Кол-во</a:t>
                  </a:r>
                </a:p>
              </xdr:txBody>
            </xdr:sp>
            <xdr:sp macro="" textlink="">
              <xdr:nvSpPr>
                <xdr:cNvPr id="12979" name="Наименование" descr="4" hidden="1">
                  <a:extLst>
                    <a:ext uri="{63B3BB69-23CF-44E3-9099-C40C66FF867C}">
                      <a14:compatExt spid="_x0000_s12979"/>
                    </a:ext>
                    <a:ext uri="{FF2B5EF4-FFF2-40B4-BE49-F238E27FC236}">
                      <a16:creationId xmlns:a16="http://schemas.microsoft.com/office/drawing/2014/main" id="{00000000-0008-0000-0300-0000B3320000}"/>
                    </a:ext>
                  </a:extLst>
                </xdr:cNvPr>
                <xdr:cNvSpPr/>
              </xdr:nvSpPr>
              <xdr:spPr bwMode="auto">
                <a:xfrm>
                  <a:off x="11687434" y="455845"/>
                  <a:ext cx="1297545" cy="15370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Наименование</a:t>
                  </a:r>
                </a:p>
              </xdr:txBody>
            </xdr:sp>
            <xdr:sp macro="" textlink="">
              <xdr:nvSpPr>
                <xdr:cNvPr id="12980" name="p/n" descr="3" hidden="1">
                  <a:extLst>
                    <a:ext uri="{63B3BB69-23CF-44E3-9099-C40C66FF867C}">
                      <a14:compatExt spid="_x0000_s12980"/>
                    </a:ext>
                    <a:ext uri="{FF2B5EF4-FFF2-40B4-BE49-F238E27FC236}">
                      <a16:creationId xmlns:a16="http://schemas.microsoft.com/office/drawing/2014/main" id="{00000000-0008-0000-0300-0000B4320000}"/>
                    </a:ext>
                  </a:extLst>
                </xdr:cNvPr>
                <xdr:cNvSpPr/>
              </xdr:nvSpPr>
              <xdr:spPr bwMode="auto">
                <a:xfrm>
                  <a:off x="11687434" y="349844"/>
                  <a:ext cx="1297545" cy="15370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p/n</a:t>
                  </a:r>
                </a:p>
              </xdr:txBody>
            </xdr:sp>
            <xdr:sp macro="" textlink="">
              <xdr:nvSpPr>
                <xdr:cNvPr id="12981" name="Производитель" descr="2" hidden="1">
                  <a:extLst>
                    <a:ext uri="{63B3BB69-23CF-44E3-9099-C40C66FF867C}">
                      <a14:compatExt spid="_x0000_s12981"/>
                    </a:ext>
                    <a:ext uri="{FF2B5EF4-FFF2-40B4-BE49-F238E27FC236}">
                      <a16:creationId xmlns:a16="http://schemas.microsoft.com/office/drawing/2014/main" id="{00000000-0008-0000-0300-0000B5320000}"/>
                    </a:ext>
                  </a:extLst>
                </xdr:cNvPr>
                <xdr:cNvSpPr/>
              </xdr:nvSpPr>
              <xdr:spPr bwMode="auto">
                <a:xfrm>
                  <a:off x="11687434" y="249143"/>
                  <a:ext cx="1297545" cy="15370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Производитель</a:t>
                  </a:r>
                </a:p>
              </xdr:txBody>
            </xdr:sp>
            <xdr:sp macro="" textlink="">
              <xdr:nvSpPr>
                <xdr:cNvPr id="12982" name="№" descr="1" hidden="1">
                  <a:extLst>
                    <a:ext uri="{63B3BB69-23CF-44E3-9099-C40C66FF867C}">
                      <a14:compatExt spid="_x0000_s12982"/>
                    </a:ext>
                    <a:ext uri="{FF2B5EF4-FFF2-40B4-BE49-F238E27FC236}">
                      <a16:creationId xmlns:a16="http://schemas.microsoft.com/office/drawing/2014/main" id="{00000000-0008-0000-0300-0000B6320000}"/>
                    </a:ext>
                  </a:extLst>
                </xdr:cNvPr>
                <xdr:cNvSpPr/>
              </xdr:nvSpPr>
              <xdr:spPr bwMode="auto">
                <a:xfrm>
                  <a:off x="11687434" y="148442"/>
                  <a:ext cx="1297545" cy="15370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№</a:t>
                  </a:r>
                </a:p>
              </xdr:txBody>
            </xdr:sp>
            <xdr:sp macro="" textlink="">
              <xdr:nvSpPr>
                <xdr:cNvPr id="12983" name="Окно группы: колонки таблицы КП" hidden="1">
                  <a:extLst>
                    <a:ext uri="{63B3BB69-23CF-44E3-9099-C40C66FF867C}">
                      <a14:compatExt spid="_x0000_s12983"/>
                    </a:ext>
                    <a:ext uri="{FF2B5EF4-FFF2-40B4-BE49-F238E27FC236}">
                      <a16:creationId xmlns:a16="http://schemas.microsoft.com/office/drawing/2014/main" id="{00000000-0008-0000-0300-0000B7320000}"/>
                    </a:ext>
                  </a:extLst>
                </xdr:cNvPr>
                <xdr:cNvSpPr/>
              </xdr:nvSpPr>
              <xdr:spPr bwMode="auto">
                <a:xfrm>
                  <a:off x="11643200" y="95441"/>
                  <a:ext cx="1393386" cy="116071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none" lIns="27432" tIns="27432" rIns="0" bIns="0" anchor="t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Колонки таблицы КП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076" name="Выбор расчёта" hidden="1">
                <a:extLst>
                  <a:ext uri="{63B3BB69-23CF-44E3-9099-C40C66FF867C}">
                    <a14:compatExt spid="_x0000_s22076"/>
                  </a:ext>
                  <a:ext uri="{FF2B5EF4-FFF2-40B4-BE49-F238E27FC236}">
                    <a16:creationId xmlns:a16="http://schemas.microsoft.com/office/drawing/2014/main" id="{00000000-0008-0000-0300-00003C560000}"/>
                  </a:ext>
                </a:extLst>
              </xdr:cNvPr>
              <xdr:cNvSpPr/>
            </xdr:nvSpPr>
            <xdr:spPr bwMode="auto">
              <a:xfrm>
                <a:off x="13132428" y="577747"/>
                <a:ext cx="1393386" cy="1431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077" name="Кнопка _рассчитать_" hidden="1">
                <a:extLst>
                  <a:ext uri="{63B3BB69-23CF-44E3-9099-C40C66FF867C}">
                    <a14:compatExt spid="_x0000_s22077"/>
                  </a:ext>
                  <a:ext uri="{FF2B5EF4-FFF2-40B4-BE49-F238E27FC236}">
                    <a16:creationId xmlns:a16="http://schemas.microsoft.com/office/drawing/2014/main" id="{00000000-0008-0000-0300-00003D560000}"/>
                  </a:ext>
                </a:extLst>
              </xdr:cNvPr>
              <xdr:cNvSpPr/>
            </xdr:nvSpPr>
            <xdr:spPr bwMode="auto">
              <a:xfrm>
                <a:off x="13132428" y="95442"/>
                <a:ext cx="1393386" cy="2226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Расчёт КП</a:t>
                </a:r>
              </a:p>
            </xdr:txBody>
          </xdr:sp>
        </mc:Choice>
        <mc:Fallback/>
      </mc:AlternateContent>
    </xdr:grpSp>
    <xdr:clientData fPrintsWithSheet="0"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2_Производитель" sourceName="2_x000a_Производитель">
  <extLst>
    <x:ext xmlns:x15="http://schemas.microsoft.com/office/spreadsheetml/2010/11/main" uri="{2F2917AC-EB37-4324-AD4E-5DD8C200BD13}">
      <x15:tableSlicerCache tableId="1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рез_2_Производитель" cache="Срез_2_Производитель" caption="Производитель" style="SlicerStyleOther1" rowHeight="234950"/>
</slicers>
</file>

<file path=xl/tables/table1.xml><?xml version="1.0" encoding="utf-8"?>
<table xmlns="http://schemas.openxmlformats.org/spreadsheetml/2006/main" id="4" name="Листы" displayName="Листы" ref="A25:A30" totalsRowShown="0" headerRowDxfId="120" dataDxfId="119">
  <autoFilter ref="A25:A30"/>
  <tableColumns count="1">
    <tableColumn id="1" name="ЛИСТЫ" dataDxfId="118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id="1" name="Расчёт" displayName="Расчёт" ref="A16:AH23" totalsRowCount="1" headerRowDxfId="117" dataDxfId="115" totalsRowDxfId="113" headerRowBorderDxfId="116" tableBorderDxfId="114" totalsRowBorderDxfId="112">
  <autoFilter ref="A16:AH22"/>
  <tableColumns count="34">
    <tableColumn id="1" name="1_x000a_№" dataDxfId="111" totalsRowDxfId="63" dataCellStyle="Обычный 4"/>
    <tableColumn id="2" name="2_x000a_Производитель" dataDxfId="110" totalsRowDxfId="62" dataCellStyle="Обычный 4"/>
    <tableColumn id="3" name="3_x000a_p/n" dataDxfId="109" totalsRowDxfId="61" dataCellStyle="Обычный 4"/>
    <tableColumn id="4" name="4 _x000a_Наименование" dataDxfId="108" totalsRowDxfId="60" dataCellStyle="Обычный 4"/>
    <tableColumn id="5" name="5_x000a_Кол-во" dataDxfId="107" totalsRowDxfId="59" dataCellStyle="Обычный 4"/>
    <tableColumn id="6" name="6_x000a_Ед.изм." dataDxfId="106" totalsRowDxfId="58" dataCellStyle="Обычный 4"/>
    <tableColumn id="27" name="7_x000a_Цена продажи" dataDxfId="105" totalsRowDxfId="57" dataCellStyle="Обычный 4">
      <calculatedColumnFormula>ROUND(IF(INDEX(источник,1)=Расчёт[[#This Row],[12
Источник для расчёта прибыли]],Расчёт[[#This Row],[16
Цена GPL]]*IFERROR(INDEX(расчёт_курса,MATCH(валюта_продажи,валюта,0),MATCH(Расчёт[[#This Row],[15
Валюта GPL]],валюта,0)),0)*IFERROR(INDEX(расчёт_НДС,MATCH(Расчёт[[#This Row],[10
Способ НДС]],НДС,0),MATCH(Расчёт[[#This Row],[18
НДС GPL]],НДС,0)),0),IF(INDEX(источник,2)=Расчёт[[#This Row],[12
Источник для расчёта прибыли]],Расчёт[[#This Row],[22
Цена закупки]]*IFERROR(INDEX(расчёт_курса,MATCH(валюта_продажи,валюта,0),MATCH(Расчёт[[#This Row],[21
Валюта закупки]],валюта,0)),0)*IFERROR(INDEX(расчёт_НДС,MATCH(Расчёт[[#This Row],[10
Способ НДС]],НДС,0),MATCH(Расчёт[[#This Row],[24
НДС закупки]],НДС,0)),0),0))*IF(INDEX(прибыль,1)=Расчёт[[#This Row],[11
Способ расчёта  прибыли]],(1+Расчёт[[#This Row],[13
Процент прибыли]]),IF(INDEX(прибыль,2)=Расчёт[[#This Row],[11
Способ расчёта  прибыли]],1/(1-Расчёт[[#This Row],[13
Процент прибыли]]),0))+IF(включить_транспортные_расходы="да",IFERROR(стоимость_доставки/Расчёт[[#This Row],[5
Кол-во]],0)*INDEX(расчёт_курса,MATCH(валюта_продажи,валюта,0),2)*IF(MATCH(включить_НДС,НДС,0)=2,(Расчёт[[#This Row],[25
Сумма закупки в валюте продажи]]+Расчёт[[#This Row],[34
НДС закупки]])/(себестоимость+размер_НДС_закупки)/IF(MATCH(Расчёт[[#This Row],[10
Способ НДС]],НДС,0)=3,1,1.18),Расчёт[[#This Row],[25
Сумма закупки в валюте продажи]]/себестоимость),0),2)</calculatedColumnFormula>
    </tableColumn>
    <tableColumn id="28" name="8_x000a_Сумма продажи" totalsRowFunction="sum" dataDxfId="104" totalsRowDxfId="56" dataCellStyle="Обычный 4">
      <calculatedColumnFormula>IF(OR(Расчёт[[#This Row],[33
Тип индекса]]="subtitle",Расчёт[[#This Row],[1
№]]=""),0,E17*G17)</calculatedColumnFormula>
    </tableColumn>
    <tableColumn id="29" name="9_x000a_Сумма НДС продажи" totalsRowFunction="sum" dataDxfId="103" totalsRowDxfId="55" dataCellStyle="Обычный 4">
      <calculatedColumnFormula>ROUND(H17*IF(Расчёт[[#This Row],[10
Способ НДС]]=INDEX(НДС,1),1/1.18*0.18,IF(Расчёт[[#This Row],[10
Способ НДС]]=INDEX(НДС,2),0.18,0)),2)</calculatedColumnFormula>
    </tableColumn>
    <tableColumn id="35" name="10_x000a_Способ НДС" dataDxfId="102" totalsRowDxfId="54" dataCellStyle="Обычный 4"/>
    <tableColumn id="30" name="11_x000a_Способ расчёта  прибыли" dataDxfId="101" totalsRowDxfId="53" dataCellStyle="Обычный 4"/>
    <tableColumn id="31" name="12_x000a_Источник для расчёта прибыли" dataDxfId="100" totalsRowDxfId="52" dataCellStyle="Обычный 4"/>
    <tableColumn id="32" name="13_x000a_Процент прибыли" totalsRowFunction="custom" dataDxfId="99" totalsRowDxfId="51" dataCellStyle="Процентный">
      <totalsRowFormula>Расчёт[[#Totals],[14
Результирующая маржа]]/Расчёт[[#Totals],[8
Сумма продажи]]</totalsRowFormula>
    </tableColumn>
    <tableColumn id="33" name="14_x000a_Результирующая маржа" totalsRowFunction="sum" dataDxfId="98" totalsRowDxfId="50" dataCellStyle="Обычный 4">
      <calculatedColumnFormula>ROUND(Расчёт[[#This Row],[8
Сумма продажи]]-Расчёт[[#This Row],[25
Сумма закупки в валюте продажи]]-IF(включить_транспортные_расходы="да",стоимость_доставки*INDEX(расчёт_курса,MATCH(валюта_продажи,валюта,0),2)*IF(MATCH(включить_НДС,НДС,0)=2,(Расчёт[[#This Row],[25
Сумма закупки в валюте продажи]]+Расчёт[[#This Row],[34
НДС закупки]])/(себестоимость+размер_НДС_закупки)/IF(MATCH(Расчёт[[#This Row],[10
Способ НДС]],НДС,0)=3,1,1.18),Расчёт[[#This Row],[25
Сумма закупки в валюте продажи]]/себестоимость),0),2)</calculatedColumnFormula>
    </tableColumn>
    <tableColumn id="37" name="15_x000a_Валюта GPL" dataDxfId="97" totalsRowDxfId="49" dataCellStyle="Обычный 4"/>
    <tableColumn id="7" name="16_x000a_Цена GPL" dataDxfId="96" totalsRowDxfId="48" dataCellStyle="Обычный 4"/>
    <tableColumn id="8" name="17_x000a_Сумма GPL" totalsRowFunction="sum" dataDxfId="95" totalsRowDxfId="47" dataCellStyle="Обычный 4">
      <calculatedColumnFormula>IF(OR(Расчёт[[#This Row],[33
Тип индекса]]="subtitle",Расчёт[[#This Row],[1
№]]=""),0,Расчёт[[#This Row],[5
Кол-во]]*Расчёт[[#This Row],[16
Цена GPL]])</calculatedColumnFormula>
    </tableColumn>
    <tableColumn id="23" name="18_x000a_НДС GPL" dataDxfId="94" totalsRowDxfId="46" dataCellStyle="Обычный 4"/>
    <tableColumn id="24" name="19_x000a_Сумма GPL в валюте продажи" totalsRowFunction="sum" dataDxfId="93" totalsRowDxfId="45" dataCellStyle="Обычный 4">
      <calculatedColumnFormula>Расчёт[[#This Row],[17
Сумма GPL]]*IFERROR(INDEX(расчёт_курса,MATCH(валюта_продажи,валюта,0),MATCH(Расчёт[[#This Row],[15
Валюта GPL]],валюта,0)),0)*IFERROR(INDEX(расчёт_НДС,MATCH(Расчёт[[#This Row],[10
Способ НДС]],НДС,0),MATCH(Расчёт[[#This Row],[18
НДС GPL]],НДС,0)),0)</calculatedColumnFormula>
    </tableColumn>
    <tableColumn id="9" name="20_x000a_Скидка" totalsRowFunction="custom" dataDxfId="92" totalsRowDxfId="44" dataCellStyle="Процентный">
      <calculatedColumnFormula>IFERROR(1-Расчёт[[#This Row],[25
Сумма закупки в валюте продажи]]/Расчёт[[#This Row],[19
Сумма GPL в валюте продажи]],"")</calculatedColumnFormula>
      <totalsRowFormula>IFERROR(1-Расчёт[[#Totals],[25
Сумма закупки в валюте продажи]]/Расчёт[[#Totals],[19
Сумма GPL в валюте продажи]],"")</totalsRowFormula>
    </tableColumn>
    <tableColumn id="39" name="21_x000a_Валюта закупки" dataDxfId="91" totalsRowDxfId="43" dataCellStyle="Обычный 4"/>
    <tableColumn id="10" name="22_x000a_Цена закупки" dataDxfId="90" totalsRowDxfId="42" dataCellStyle="Обычный 4"/>
    <tableColumn id="11" name="23_x000a_Сумма закупки" dataDxfId="89" totalsRowDxfId="41" dataCellStyle="Обычный 4">
      <calculatedColumnFormula>IF(OR(Расчёт[[#This Row],[33
Тип индекса]]="subtitle",Расчёт[[#This Row],[1
№]]=""),0,Расчёт[[#This Row],[5
Кол-во]]*Расчёт[[#This Row],[22
Цена закупки]])</calculatedColumnFormula>
    </tableColumn>
    <tableColumn id="22" name="24_x000a_НДС закупки" dataDxfId="88" totalsRowDxfId="40" dataCellStyle="Обычный 4"/>
    <tableColumn id="20" name="25_x000a_Сумма закупки в валюте продажи" totalsRowFunction="sum" dataDxfId="87" totalsRowDxfId="39" dataCellStyle="Обычный 4">
      <calculatedColumnFormula>Расчёт[[#This Row],[23
Сумма закупки]]*IFERROR(INDEX(расчёт_курса,MATCH(валюта_продажи,валюта,0),MATCH(Расчёт[[#This Row],[21
Валюта закупки]],валюта,0)),0)*IFERROR(INDEX(расчёт_НДС,MATCH(Расчёт[[#This Row],[10
Способ НДС]],НДС,0),MATCH(Расчёт[[#This Row],[24
НДС закупки]],НДС,0)),0)</calculatedColumnFormula>
    </tableColumn>
    <tableColumn id="13" name="26_x000a_Срок поставки" dataDxfId="86" totalsRowDxfId="38" dataCellStyle="Обычный 4"/>
    <tableColumn id="14" name="27_x000a_Поставщик" dataDxfId="85" totalsRowDxfId="37" dataCellStyle="Обычный 4"/>
    <tableColumn id="15" name="28_x000a_Примечание" dataDxfId="84" totalsRowDxfId="36" dataCellStyle="Обычный 4"/>
    <tableColumn id="16" name="29_x000a_Вес" dataDxfId="83" totalsRowDxfId="35" dataCellStyle="Обычный 4"/>
    <tableColumn id="17" name="30_x000a_Всего" totalsRowFunction="custom" dataDxfId="82" totalsRowDxfId="34" dataCellStyle="Обычный 4">
      <calculatedColumnFormula>Расчёт[[#This Row],[5
Кол-во]]*Расчёт[[#This Row],[29
Вес]]</calculatedColumnFormula>
      <totalsRowFormula>SUMIF(Расчёт[1
№],"&lt;&gt;",Расчёт[30
Всего])</totalsRowFormula>
    </tableColumn>
    <tableColumn id="18" name="31_x000a_Объём" dataDxfId="81" totalsRowDxfId="33" dataCellStyle="Обычный 4"/>
    <tableColumn id="19" name="32_x000a_Всего" totalsRowFunction="custom" dataDxfId="80" totalsRowDxfId="32" dataCellStyle="Обычный 4">
      <calculatedColumnFormula>Расчёт[[#This Row],[5
Кол-во]]*Расчёт[[#This Row],[31
Объём]]</calculatedColumnFormula>
      <totalsRowFormula>SUMIF(Расчёт[1
№],"&lt;&gt;",Расчёт[32
Всего])</totalsRowFormula>
    </tableColumn>
    <tableColumn id="21" name="33_x000a_Тип индекса" dataDxfId="79" totalsRowDxfId="31" dataCellStyle="Обычный 4"/>
    <tableColumn id="12" name="34_x000a_НДС закупки" totalsRowFunction="sum" dataDxfId="78" totalsRowDxfId="30" dataCellStyle="Обычный 4">
      <calculatedColumnFormula>ROUND(Расчёт[[#This Row],[25
Сумма закупки в валюте продажи]]*IF(Расчёт[[#This Row],[10
Способ НДС]]=INDEX(НДС,1),1/1.18*0.18,IF(Расчёт[[#This Row],[10
Способ НДС]]=INDEX(НДС,2),0.18,0)),2)</calculatedColumnFormula>
    </tableColumn>
  </tableColumns>
  <tableStyleInfo name="Стиль таблицы 1" showFirstColumn="0" showLastColumn="0" showRowStripes="1" showColumnStripes="0"/>
</table>
</file>

<file path=xl/tables/table3.xml><?xml version="1.0" encoding="utf-8"?>
<table xmlns="http://schemas.openxmlformats.org/spreadsheetml/2006/main" id="2" name="Доставка" displayName="Доставка" ref="A26:H30" totalsRowCount="1" headerRowDxfId="77" dataDxfId="75" totalsRowDxfId="73" headerRowBorderDxfId="76" tableBorderDxfId="74" totalsRowBorderDxfId="72">
  <autoFilter ref="A26:H2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Вкл. в расчёт" dataDxfId="71" totalsRowDxfId="7"/>
    <tableColumn id="2" name="Способ доставки" dataDxfId="70" totalsRowDxfId="6"/>
    <tableColumn id="3" name="Срок доставки" dataDxfId="69" totalsRowDxfId="5"/>
    <tableColumn id="4" name="Адрес доставки" totalsRowLabel="Итого:" dataDxfId="68" totalsRowDxfId="4"/>
    <tableColumn id="5" name="Общий вес, кг" totalsRowFunction="custom" dataDxfId="67" totalsRowDxfId="3">
      <calculatedColumnFormula>вес</calculatedColumnFormula>
      <totalsRowFormula>SUMIF(Доставка[Вкл. в расчёт],"=да",Доставка[Общий вес, кг])</totalsRowFormula>
    </tableColumn>
    <tableColumn id="6" name="Общий объем, м3" totalsRowFunction="custom" dataDxfId="66" totalsRowDxfId="2">
      <calculatedColumnFormula>объём</calculatedColumnFormula>
      <totalsRowFormula>SUMIF(Доставка[Вкл. в расчёт],"=да",Доставка[Общий объем, м3])</totalsRowFormula>
    </tableColumn>
    <tableColumn id="7" name="Цена, руб. с НДС" totalsRowFunction="custom" dataDxfId="65" totalsRowDxfId="1">
      <calculatedColumnFormula>600000*1.18</calculatedColumnFormula>
      <totalsRowFormula>SUMIF(Доставка[Вкл. в расчёт],"=да",Доставка[Цена, руб. с НДС])</totalsRowFormula>
    </tableColumn>
    <tableColumn id="8" name="Транспортная компания" dataDxfId="64" totalsRowDxfId="0"/>
  </tableColumns>
  <tableStyleInfo name="Стиль таблицы 1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omments" Target="../comments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microsoft.com/office/2007/relationships/slicer" Target="../slicers/slicer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30"/>
  <sheetViews>
    <sheetView workbookViewId="0">
      <selection activeCell="A18" sqref="A14:D18"/>
    </sheetView>
  </sheetViews>
  <sheetFormatPr defaultRowHeight="14.4" x14ac:dyDescent="0.3"/>
  <cols>
    <col min="1" max="1" width="25.88671875" bestFit="1" customWidth="1"/>
    <col min="2" max="4" width="6.5546875" style="14" customWidth="1"/>
    <col min="5" max="5" width="9.5546875" customWidth="1"/>
    <col min="6" max="8" width="7.88671875" customWidth="1"/>
    <col min="9" max="9" width="14.109375" customWidth="1"/>
    <col min="10" max="11" width="12.33203125" customWidth="1"/>
    <col min="13" max="13" width="13.109375" bestFit="1" customWidth="1"/>
    <col min="14" max="15" width="20.5546875" bestFit="1" customWidth="1"/>
    <col min="16" max="16" width="18.5546875" customWidth="1"/>
    <col min="17" max="17" width="22.5546875" bestFit="1" customWidth="1"/>
    <col min="18" max="18" width="23.33203125" customWidth="1"/>
    <col min="19" max="19" width="14.88671875" customWidth="1"/>
  </cols>
  <sheetData>
    <row r="1" spans="1:19" s="1" customFormat="1" x14ac:dyDescent="0.3">
      <c r="A1" s="2" t="s">
        <v>27</v>
      </c>
      <c r="B1" s="12" t="str">
        <f>INDEX(валюта,1)</f>
        <v>EUR</v>
      </c>
      <c r="C1" s="12" t="str">
        <f>INDEX(валюта,2)</f>
        <v>RUR</v>
      </c>
      <c r="D1" s="13" t="str">
        <f>INDEX(валюта,3)</f>
        <v>USD</v>
      </c>
      <c r="E1" s="2" t="s">
        <v>28</v>
      </c>
      <c r="F1" s="5" t="str">
        <f>INDEX(НДС,1)</f>
        <v>с НДС</v>
      </c>
      <c r="G1" s="5" t="str">
        <f>INDEX(НДС,2)</f>
        <v>без НДС</v>
      </c>
      <c r="H1" s="6" t="str">
        <f>INDEX(НДС,3)</f>
        <v>н/о НДС</v>
      </c>
      <c r="I1" s="19" t="s">
        <v>118</v>
      </c>
      <c r="J1" s="19" t="s">
        <v>61</v>
      </c>
      <c r="K1" s="19" t="s">
        <v>145</v>
      </c>
      <c r="L1" s="1" t="s">
        <v>29</v>
      </c>
      <c r="M1" s="1" t="s">
        <v>51</v>
      </c>
      <c r="N1" s="1" t="s">
        <v>54</v>
      </c>
      <c r="O1" s="1" t="s">
        <v>55</v>
      </c>
      <c r="P1" s="1" t="s">
        <v>77</v>
      </c>
      <c r="Q1" s="1" t="s">
        <v>164</v>
      </c>
      <c r="R1" s="1" t="s">
        <v>90</v>
      </c>
      <c r="S1" s="1" t="s">
        <v>124</v>
      </c>
    </row>
    <row r="2" spans="1:19" x14ac:dyDescent="0.3">
      <c r="A2" s="3" t="s">
        <v>17</v>
      </c>
      <c r="B2" s="15">
        <v>1</v>
      </c>
      <c r="C2" s="15">
        <f>1/курс_EUR_расчётный</f>
        <v>1.3888888888888888E-2</v>
      </c>
      <c r="D2" s="16">
        <f>курс_USD_расчётный/курс_EUR_расчётный</f>
        <v>0.83333333333333337</v>
      </c>
      <c r="E2" s="7" t="s">
        <v>24</v>
      </c>
      <c r="F2" s="9">
        <v>1</v>
      </c>
      <c r="G2" s="9">
        <v>1.18</v>
      </c>
      <c r="H2" s="10">
        <v>1.18</v>
      </c>
      <c r="I2" s="9" t="s">
        <v>121</v>
      </c>
      <c r="J2" s="9" t="s">
        <v>60</v>
      </c>
      <c r="K2" s="9" t="s">
        <v>146</v>
      </c>
      <c r="L2" t="s">
        <v>23</v>
      </c>
      <c r="M2" t="s">
        <v>49</v>
      </c>
      <c r="N2">
        <f t="array" ref="N2:N11" ca="1">_xlfn.FILTERXML(_xlfn.WEBSERVICE("www.cbr.ru/scripts/XML_dynamic.asp?date_req1="&amp;TEXT(NOW()-11,"ДД/ММ/ГГГГ")&amp;"&amp;date_req2="&amp;TEXT(NOW()+1,"ДД/ММ/ГГГГ")&amp;"&amp;VAL_NM_RQ=R01235"),"//Value")</f>
        <v>57.265599999999999</v>
      </c>
      <c r="O2">
        <f t="array" ref="O2:O11" ca="1">_xlfn.FILTERXML(_xlfn.WEBSERVICE("www.cbr.ru/scripts/XML_dynamic.asp?date_req1="&amp;TEXT(NOW()-11,"ДД/ММ/ГГГГ")&amp;"&amp;date_req2="&amp;TEXT(NOW()+1,"ДД/ММ/ГГГГ")&amp;"&amp;VAL_NM_RQ=R01239"),"//Value")</f>
        <v>68.546899999999994</v>
      </c>
      <c r="P2" t="s">
        <v>151</v>
      </c>
      <c r="R2" t="s">
        <v>97</v>
      </c>
      <c r="S2" t="s">
        <v>138</v>
      </c>
    </row>
    <row r="3" spans="1:19" x14ac:dyDescent="0.3">
      <c r="A3" s="3" t="s">
        <v>19</v>
      </c>
      <c r="B3" s="15">
        <f>курс_EUR_расчётный</f>
        <v>72</v>
      </c>
      <c r="C3" s="15">
        <v>1</v>
      </c>
      <c r="D3" s="16">
        <f>курс_USD_расчётный</f>
        <v>60</v>
      </c>
      <c r="E3" s="7" t="s">
        <v>25</v>
      </c>
      <c r="F3" s="9">
        <f>1/1.18</f>
        <v>0.84745762711864414</v>
      </c>
      <c r="G3" s="9">
        <v>1</v>
      </c>
      <c r="H3" s="10">
        <v>1</v>
      </c>
      <c r="I3" s="9" t="s">
        <v>119</v>
      </c>
      <c r="J3" s="9" t="s">
        <v>59</v>
      </c>
      <c r="K3" s="9" t="s">
        <v>147</v>
      </c>
      <c r="L3" t="s">
        <v>36</v>
      </c>
      <c r="M3" t="s">
        <v>48</v>
      </c>
      <c r="N3">
        <f ca="1"/>
        <v>57.667900000000003</v>
      </c>
      <c r="O3">
        <f ca="1"/>
        <v>69.097700000000003</v>
      </c>
      <c r="P3" t="s">
        <v>152</v>
      </c>
      <c r="Q3" t="s">
        <v>165</v>
      </c>
      <c r="R3" t="s">
        <v>98</v>
      </c>
      <c r="S3" t="s">
        <v>139</v>
      </c>
    </row>
    <row r="4" spans="1:19" ht="15" thickBot="1" x14ac:dyDescent="0.35">
      <c r="A4" s="4" t="s">
        <v>20</v>
      </c>
      <c r="B4" s="17">
        <f>курс_EUR_расчётный/курс_USD_расчётный</f>
        <v>1.2</v>
      </c>
      <c r="C4" s="17">
        <f>1/курс_USD_расчётный</f>
        <v>1.6666666666666666E-2</v>
      </c>
      <c r="D4" s="18">
        <v>1</v>
      </c>
      <c r="E4" s="8" t="s">
        <v>26</v>
      </c>
      <c r="F4" s="20" t="e">
        <v>#VALUE!</v>
      </c>
      <c r="G4" s="20" t="e">
        <v>#VALUE!</v>
      </c>
      <c r="H4" s="11">
        <v>1</v>
      </c>
      <c r="I4" s="9" t="s">
        <v>120</v>
      </c>
      <c r="J4" s="9"/>
      <c r="K4" s="9"/>
      <c r="L4" t="s">
        <v>33</v>
      </c>
      <c r="M4" t="s">
        <v>56</v>
      </c>
      <c r="N4">
        <f ca="1"/>
        <v>57.770600000000002</v>
      </c>
      <c r="O4">
        <f ca="1"/>
        <v>68.694999999999993</v>
      </c>
      <c r="P4" t="s">
        <v>136</v>
      </c>
      <c r="Q4" t="s">
        <v>165</v>
      </c>
      <c r="R4" t="s">
        <v>143</v>
      </c>
    </row>
    <row r="5" spans="1:19" x14ac:dyDescent="0.3">
      <c r="L5" t="s">
        <v>35</v>
      </c>
      <c r="M5" t="s">
        <v>50</v>
      </c>
      <c r="N5">
        <f ca="1"/>
        <v>57.5336</v>
      </c>
      <c r="O5">
        <f ca="1"/>
        <v>68.580100000000002</v>
      </c>
      <c r="P5" t="s">
        <v>80</v>
      </c>
      <c r="Q5" t="s">
        <v>171</v>
      </c>
      <c r="R5" t="s">
        <v>99</v>
      </c>
    </row>
    <row r="6" spans="1:19" x14ac:dyDescent="0.3">
      <c r="L6" t="s">
        <v>34</v>
      </c>
      <c r="N6">
        <f ca="1"/>
        <v>57.624200000000002</v>
      </c>
      <c r="O6">
        <f ca="1"/>
        <v>68.751400000000004</v>
      </c>
      <c r="P6" t="s">
        <v>81</v>
      </c>
      <c r="Q6" t="s">
        <v>169</v>
      </c>
      <c r="R6" t="s">
        <v>91</v>
      </c>
    </row>
    <row r="7" spans="1:19" x14ac:dyDescent="0.3">
      <c r="L7" t="s">
        <v>32</v>
      </c>
      <c r="N7">
        <f ca="1"/>
        <v>58.099299999999999</v>
      </c>
      <c r="O7">
        <f ca="1"/>
        <v>69.6785</v>
      </c>
      <c r="P7" t="s">
        <v>78</v>
      </c>
      <c r="Q7" t="s">
        <v>165</v>
      </c>
      <c r="R7" t="s">
        <v>92</v>
      </c>
    </row>
    <row r="8" spans="1:19" x14ac:dyDescent="0.3">
      <c r="L8" t="s">
        <v>30</v>
      </c>
      <c r="N8">
        <f ca="1"/>
        <v>58.128999999999998</v>
      </c>
      <c r="O8">
        <f ca="1"/>
        <v>69.766400000000004</v>
      </c>
      <c r="P8" t="s">
        <v>79</v>
      </c>
      <c r="Q8" t="s">
        <v>71</v>
      </c>
      <c r="R8" t="s">
        <v>93</v>
      </c>
    </row>
    <row r="9" spans="1:19" x14ac:dyDescent="0.3">
      <c r="L9" t="s">
        <v>31</v>
      </c>
      <c r="N9">
        <f ca="1"/>
        <v>58.224200000000003</v>
      </c>
      <c r="O9">
        <f ca="1"/>
        <v>69.263499999999993</v>
      </c>
      <c r="P9" t="s">
        <v>116</v>
      </c>
      <c r="R9" t="s">
        <v>94</v>
      </c>
    </row>
    <row r="10" spans="1:19" x14ac:dyDescent="0.3">
      <c r="N10">
        <f ca="1"/>
        <v>57.652700000000003</v>
      </c>
      <c r="O10">
        <f ca="1"/>
        <v>69.073700000000002</v>
      </c>
      <c r="P10" t="s">
        <v>137</v>
      </c>
      <c r="Q10" t="s">
        <v>170</v>
      </c>
      <c r="R10" t="s">
        <v>95</v>
      </c>
    </row>
    <row r="11" spans="1:19" x14ac:dyDescent="0.3">
      <c r="N11" t="e">
        <f ca="1"/>
        <v>#N/A</v>
      </c>
      <c r="O11" t="e">
        <f ca="1"/>
        <v>#N/A</v>
      </c>
      <c r="P11" t="s">
        <v>138</v>
      </c>
      <c r="Q11" t="s">
        <v>168</v>
      </c>
      <c r="R11" t="s">
        <v>96</v>
      </c>
    </row>
    <row r="12" spans="1:19" x14ac:dyDescent="0.3">
      <c r="P12" t="s">
        <v>153</v>
      </c>
      <c r="Q12" t="s">
        <v>166</v>
      </c>
    </row>
    <row r="13" spans="1:19" x14ac:dyDescent="0.3">
      <c r="P13" t="s">
        <v>155</v>
      </c>
      <c r="Q13" t="s">
        <v>172</v>
      </c>
    </row>
    <row r="14" spans="1:19" x14ac:dyDescent="0.3">
      <c r="A14" t="s">
        <v>209</v>
      </c>
      <c r="B14" s="88">
        <f>SUM(Расчёт[8
Сумма продажи])</f>
        <v>0</v>
      </c>
      <c r="C14" s="88"/>
      <c r="D14" s="88"/>
      <c r="P14" t="s">
        <v>139</v>
      </c>
      <c r="Q14" t="s">
        <v>167</v>
      </c>
    </row>
    <row r="15" spans="1:19" x14ac:dyDescent="0.3">
      <c r="A15" t="s">
        <v>211</v>
      </c>
      <c r="B15" s="88">
        <f>SUM(Расчёт[9
Сумма НДС продажи])</f>
        <v>0</v>
      </c>
      <c r="C15" s="88"/>
      <c r="D15" s="88"/>
      <c r="P15" t="s">
        <v>154</v>
      </c>
    </row>
    <row r="16" spans="1:19" x14ac:dyDescent="0.3">
      <c r="A16" t="s">
        <v>210</v>
      </c>
      <c r="B16" s="88">
        <f>SUM(Расчёт[25
Сумма закупки в валюте продажи])</f>
        <v>0</v>
      </c>
      <c r="C16" s="88"/>
      <c r="D16" s="88"/>
    </row>
    <row r="17" spans="1:4" x14ac:dyDescent="0.3">
      <c r="A17" t="s">
        <v>235</v>
      </c>
      <c r="B17" s="88">
        <f>SUM(Расчёт[34
НДС закупки])</f>
        <v>0</v>
      </c>
      <c r="C17" s="88"/>
      <c r="D17" s="88"/>
    </row>
    <row r="18" spans="1:4" x14ac:dyDescent="0.3">
      <c r="A18" t="s">
        <v>59</v>
      </c>
      <c r="B18" s="88" t="e">
        <f>SUM(Расчёт[14
Результирующая маржа])</f>
        <v>#DIV/0!</v>
      </c>
      <c r="C18" s="88"/>
      <c r="D18" s="88"/>
    </row>
    <row r="19" spans="1:4" x14ac:dyDescent="0.3">
      <c r="A19" t="s">
        <v>146</v>
      </c>
      <c r="B19" s="88">
        <f>SUM(Расчёт[17
Сумма GPL])</f>
        <v>0</v>
      </c>
      <c r="C19" s="88"/>
      <c r="D19" s="88"/>
    </row>
    <row r="25" spans="1:4" x14ac:dyDescent="0.3">
      <c r="A25" s="1" t="s">
        <v>212</v>
      </c>
      <c r="B25" s="74"/>
    </row>
    <row r="26" spans="1:4" x14ac:dyDescent="0.3">
      <c r="A26" s="319" t="s">
        <v>236</v>
      </c>
      <c r="B26" s="74"/>
    </row>
    <row r="27" spans="1:4" x14ac:dyDescent="0.3">
      <c r="A27" s="319" t="s">
        <v>237</v>
      </c>
      <c r="B27" s="74"/>
    </row>
    <row r="28" spans="1:4" x14ac:dyDescent="0.3">
      <c r="A28" s="319" t="s">
        <v>239</v>
      </c>
    </row>
    <row r="29" spans="1:4" x14ac:dyDescent="0.3">
      <c r="A29" s="319" t="s">
        <v>240</v>
      </c>
    </row>
    <row r="30" spans="1:4" x14ac:dyDescent="0.3">
      <c r="A30" s="319" t="s">
        <v>249</v>
      </c>
    </row>
  </sheetData>
  <sheetProtection formatCells="0" formatColumns="0" formatRows="0" insertColumns="0" insertRows="0" insertHyperlinks="0" deleteColumns="0" deleteRows="0" sort="0" autoFilter="0" pivotTables="0"/>
  <sortState ref="P2:P16">
    <sortCondition ref="P16"/>
  </sortState>
  <dataConsolidate/>
  <mergeCells count="6">
    <mergeCell ref="B17:D17"/>
    <mergeCell ref="B14:D14"/>
    <mergeCell ref="B16:D16"/>
    <mergeCell ref="B15:D15"/>
    <mergeCell ref="B19:D19"/>
    <mergeCell ref="B18:D18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35"/>
  <sheetViews>
    <sheetView workbookViewId="0">
      <selection activeCell="A6" sqref="A6"/>
    </sheetView>
  </sheetViews>
  <sheetFormatPr defaultRowHeight="14.4" x14ac:dyDescent="0.3"/>
  <cols>
    <col min="1" max="1" width="86.33203125" style="66" customWidth="1"/>
  </cols>
  <sheetData>
    <row r="1" spans="1:1" x14ac:dyDescent="0.3">
      <c r="A1" s="68" t="s">
        <v>248</v>
      </c>
    </row>
    <row r="2" spans="1:1" x14ac:dyDescent="0.3">
      <c r="A2" s="67" t="s">
        <v>149</v>
      </c>
    </row>
    <row r="3" spans="1:1" ht="28.8" x14ac:dyDescent="0.3">
      <c r="A3" s="87" t="s">
        <v>241</v>
      </c>
    </row>
    <row r="4" spans="1:1" ht="28.8" x14ac:dyDescent="0.3">
      <c r="A4" s="87" t="s">
        <v>243</v>
      </c>
    </row>
    <row r="5" spans="1:1" x14ac:dyDescent="0.3">
      <c r="A5" s="87" t="s">
        <v>244</v>
      </c>
    </row>
    <row r="6" spans="1:1" ht="86.4" x14ac:dyDescent="0.3">
      <c r="A6" s="87" t="s">
        <v>245</v>
      </c>
    </row>
    <row r="7" spans="1:1" ht="28.8" x14ac:dyDescent="0.3">
      <c r="A7" s="87" t="s">
        <v>246</v>
      </c>
    </row>
    <row r="8" spans="1:1" ht="57.6" x14ac:dyDescent="0.3">
      <c r="A8" s="66" t="s">
        <v>247</v>
      </c>
    </row>
    <row r="9" spans="1:1" ht="201.6" x14ac:dyDescent="0.3">
      <c r="A9" s="66" t="s">
        <v>251</v>
      </c>
    </row>
    <row r="10" spans="1:1" x14ac:dyDescent="0.3">
      <c r="A10" s="67" t="s">
        <v>148</v>
      </c>
    </row>
    <row r="11" spans="1:1" ht="57.6" x14ac:dyDescent="0.3">
      <c r="A11" s="66" t="s">
        <v>242</v>
      </c>
    </row>
    <row r="12" spans="1:1" ht="28.8" x14ac:dyDescent="0.3">
      <c r="A12" s="66" t="s">
        <v>252</v>
      </c>
    </row>
    <row r="13" spans="1:1" ht="28.8" x14ac:dyDescent="0.3">
      <c r="A13" s="66" t="s">
        <v>253</v>
      </c>
    </row>
    <row r="14" spans="1:1" x14ac:dyDescent="0.3">
      <c r="A14" s="67" t="s">
        <v>175</v>
      </c>
    </row>
    <row r="15" spans="1:1" ht="43.2" x14ac:dyDescent="0.3">
      <c r="A15" s="66" t="s">
        <v>250</v>
      </c>
    </row>
    <row r="16" spans="1:1" x14ac:dyDescent="0.3">
      <c r="A16" s="68" t="s">
        <v>161</v>
      </c>
    </row>
    <row r="17" spans="1:1" x14ac:dyDescent="0.3">
      <c r="A17" s="67" t="s">
        <v>149</v>
      </c>
    </row>
    <row r="18" spans="1:1" ht="28.8" x14ac:dyDescent="0.3">
      <c r="A18" s="66" t="s">
        <v>163</v>
      </c>
    </row>
    <row r="19" spans="1:1" ht="28.8" x14ac:dyDescent="0.3">
      <c r="A19" s="66" t="s">
        <v>177</v>
      </c>
    </row>
    <row r="20" spans="1:1" x14ac:dyDescent="0.3">
      <c r="A20" s="66" t="s">
        <v>173</v>
      </c>
    </row>
    <row r="21" spans="1:1" x14ac:dyDescent="0.3">
      <c r="A21" s="67" t="s">
        <v>148</v>
      </c>
    </row>
    <row r="22" spans="1:1" x14ac:dyDescent="0.3">
      <c r="A22" s="66" t="s">
        <v>160</v>
      </c>
    </row>
    <row r="23" spans="1:1" x14ac:dyDescent="0.3">
      <c r="A23" s="66" t="s">
        <v>174</v>
      </c>
    </row>
    <row r="24" spans="1:1" x14ac:dyDescent="0.3">
      <c r="A24" s="67" t="s">
        <v>175</v>
      </c>
    </row>
    <row r="25" spans="1:1" ht="28.8" x14ac:dyDescent="0.3">
      <c r="A25" s="66" t="s">
        <v>176</v>
      </c>
    </row>
    <row r="26" spans="1:1" ht="43.2" x14ac:dyDescent="0.3">
      <c r="A26" s="66" t="s">
        <v>178</v>
      </c>
    </row>
    <row r="27" spans="1:1" x14ac:dyDescent="0.3">
      <c r="A27" s="68" t="s">
        <v>140</v>
      </c>
    </row>
    <row r="28" spans="1:1" x14ac:dyDescent="0.3">
      <c r="A28" s="67" t="s">
        <v>149</v>
      </c>
    </row>
    <row r="29" spans="1:1" ht="28.8" x14ac:dyDescent="0.3">
      <c r="A29" s="66" t="s">
        <v>179</v>
      </c>
    </row>
    <row r="30" spans="1:1" ht="28.8" x14ac:dyDescent="0.3">
      <c r="A30" s="66" t="s">
        <v>159</v>
      </c>
    </row>
    <row r="31" spans="1:1" x14ac:dyDescent="0.3">
      <c r="A31" s="67" t="s">
        <v>148</v>
      </c>
    </row>
    <row r="32" spans="1:1" x14ac:dyDescent="0.3">
      <c r="A32" s="66" t="s">
        <v>144</v>
      </c>
    </row>
    <row r="33" spans="1:1" x14ac:dyDescent="0.3">
      <c r="A33" s="66" t="s">
        <v>150</v>
      </c>
    </row>
    <row r="34" spans="1:1" x14ac:dyDescent="0.3">
      <c r="A34" s="66" t="s">
        <v>142</v>
      </c>
    </row>
    <row r="35" spans="1:1" x14ac:dyDescent="0.3">
      <c r="A35" s="66" t="s">
        <v>141</v>
      </c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O92"/>
  <sheetViews>
    <sheetView zoomScaleNormal="100" workbookViewId="0">
      <selection activeCell="C20" sqref="C20:M22"/>
    </sheetView>
  </sheetViews>
  <sheetFormatPr defaultColWidth="8.88671875" defaultRowHeight="13.8" x14ac:dyDescent="0.3"/>
  <cols>
    <col min="1" max="1" width="4" style="21" customWidth="1"/>
    <col min="2" max="2" width="6.44140625" style="21" customWidth="1"/>
    <col min="3" max="3" width="3.33203125" style="21" customWidth="1"/>
    <col min="4" max="4" width="12.33203125" style="21" customWidth="1"/>
    <col min="5" max="10" width="4.88671875" style="21" customWidth="1"/>
    <col min="11" max="11" width="5.109375" style="21" customWidth="1"/>
    <col min="12" max="12" width="7.109375" style="21" customWidth="1"/>
    <col min="13" max="13" width="15.6640625" style="21" customWidth="1"/>
    <col min="14" max="14" width="4" style="21" customWidth="1"/>
    <col min="15" max="16384" width="8.88671875" style="21"/>
  </cols>
  <sheetData>
    <row r="1" spans="1:14" s="30" customFormat="1" ht="21" customHeight="1" x14ac:dyDescent="0.3">
      <c r="A1" s="112" t="s">
        <v>62</v>
      </c>
      <c r="B1" s="112"/>
      <c r="C1" s="112"/>
      <c r="D1" s="112"/>
      <c r="E1" s="89"/>
      <c r="F1" s="89"/>
      <c r="G1" s="89"/>
      <c r="H1" s="89"/>
      <c r="I1" s="89"/>
      <c r="J1" s="89"/>
      <c r="K1" s="54" t="s">
        <v>2</v>
      </c>
      <c r="L1" s="89"/>
      <c r="M1" s="89"/>
      <c r="N1" s="89"/>
    </row>
    <row r="2" spans="1:14" s="30" customFormat="1" ht="17.399999999999999" x14ac:dyDescent="0.3">
      <c r="A2" s="55"/>
      <c r="B2" s="55"/>
      <c r="C2" s="55"/>
      <c r="D2" s="55"/>
      <c r="E2"/>
      <c r="F2"/>
      <c r="G2"/>
      <c r="H2"/>
      <c r="I2"/>
      <c r="J2"/>
      <c r="K2" s="56" t="s">
        <v>63</v>
      </c>
      <c r="L2" s="111"/>
      <c r="M2" s="111"/>
      <c r="N2" s="111"/>
    </row>
    <row r="4" spans="1:14" x14ac:dyDescent="0.3">
      <c r="G4" s="113" t="s">
        <v>64</v>
      </c>
      <c r="H4" s="114"/>
      <c r="I4" s="114"/>
      <c r="J4" s="114"/>
      <c r="K4" s="114"/>
      <c r="L4" s="118" t="s">
        <v>101</v>
      </c>
      <c r="M4" s="118"/>
      <c r="N4" s="119"/>
    </row>
    <row r="6" spans="1:14" x14ac:dyDescent="0.3">
      <c r="A6" s="102" t="s">
        <v>65</v>
      </c>
      <c r="B6" s="102"/>
      <c r="C6" s="102"/>
      <c r="D6" s="120">
        <f>контрагент</f>
        <v>0</v>
      </c>
      <c r="E6" s="120"/>
      <c r="F6" s="120"/>
      <c r="G6" s="120"/>
      <c r="H6" s="120"/>
      <c r="I6" s="120"/>
      <c r="J6" s="22"/>
    </row>
    <row r="8" spans="1:14" x14ac:dyDescent="0.3">
      <c r="A8" s="116" t="s">
        <v>105</v>
      </c>
      <c r="B8" s="116"/>
      <c r="C8" s="116"/>
      <c r="D8" s="116"/>
      <c r="E8" s="116"/>
      <c r="F8" s="116"/>
      <c r="G8" s="116"/>
      <c r="H8" s="117"/>
      <c r="I8" s="117"/>
      <c r="J8" s="117"/>
      <c r="K8" s="117"/>
      <c r="L8" s="117"/>
      <c r="M8" s="117"/>
      <c r="N8" s="117"/>
    </row>
    <row r="9" spans="1:14" x14ac:dyDescent="0.3">
      <c r="A9" s="117"/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</row>
    <row r="10" spans="1:14" x14ac:dyDescent="0.3">
      <c r="A10" s="117"/>
      <c r="B10" s="117"/>
      <c r="C10" s="117"/>
      <c r="D10" s="117"/>
      <c r="E10" s="117"/>
      <c r="F10" s="117"/>
      <c r="G10" s="117"/>
      <c r="H10" s="117"/>
      <c r="I10" s="117"/>
      <c r="J10" s="117"/>
      <c r="K10" s="117"/>
      <c r="L10" s="117"/>
      <c r="M10" s="117"/>
      <c r="N10" s="117"/>
    </row>
    <row r="11" spans="1:14" x14ac:dyDescent="0.3">
      <c r="A11" s="23"/>
      <c r="B11" s="23"/>
      <c r="C11" s="60"/>
      <c r="D11" s="23"/>
      <c r="E11" s="23"/>
      <c r="F11" s="23"/>
      <c r="G11" s="23"/>
      <c r="H11" s="23"/>
      <c r="I11" s="23"/>
      <c r="J11" s="23"/>
      <c r="K11" s="23"/>
      <c r="L11" s="23"/>
      <c r="M11" s="23"/>
    </row>
    <row r="12" spans="1:14" ht="14.4" customHeight="1" x14ac:dyDescent="0.3">
      <c r="A12" s="102" t="s">
        <v>115</v>
      </c>
      <c r="B12" s="102"/>
      <c r="C12" s="121">
        <f>IF(MATCH(включить_НДС,НДС)=2,выручка+размер_НДС,выручка)</f>
        <v>0</v>
      </c>
      <c r="D12" s="121"/>
      <c r="E12" s="121"/>
      <c r="F12" s="102" t="str">
        <f>IF(MATCH(включить_НДС,НДС,0)=3,"НДС не облагается","в т.ч. НДС 18% ")</f>
        <v xml:space="preserve">в т.ч. НДС 18% </v>
      </c>
      <c r="G12" s="102"/>
      <c r="H12" s="102"/>
      <c r="I12" s="102"/>
      <c r="J12" s="102"/>
      <c r="K12" s="102"/>
      <c r="L12" s="102"/>
      <c r="M12" s="102"/>
    </row>
    <row r="13" spans="1:14" x14ac:dyDescent="0.3">
      <c r="C13" s="60"/>
      <c r="D13" s="23"/>
      <c r="E13" s="23"/>
    </row>
    <row r="14" spans="1:14" ht="14.4" customHeight="1" x14ac:dyDescent="0.3">
      <c r="A14" s="102" t="s">
        <v>82</v>
      </c>
      <c r="B14" s="102"/>
      <c r="C14" s="121" t="e">
        <f>IF(включить_НДС="без НДС",(выручка+размер_НДС)-(себестоимость+размер_НДС_закупки)-IF(включить_транспортные_расходы="да",стоимость_доставки*INDEX(расчёт_курса,MATCH(валюта_продажи,валюта,0),2),0),маржа)</f>
        <v>#DIV/0!</v>
      </c>
      <c r="D14" s="121"/>
      <c r="E14" s="121"/>
      <c r="F14" s="115" t="e">
        <f>"("&amp;TEXT(маржа/выручка,"0,00%")&amp;" от выручки) "&amp;IF(включить_транспортные_расходы="да","с учётом доставки","без учёта доставки")</f>
        <v>#DIV/0!</v>
      </c>
      <c r="G14" s="115"/>
      <c r="H14" s="115"/>
      <c r="I14" s="115"/>
      <c r="J14" s="115"/>
      <c r="K14" s="115"/>
      <c r="L14" s="115"/>
      <c r="M14" s="115"/>
    </row>
    <row r="15" spans="1:14" ht="14.4" thickBot="1" x14ac:dyDescent="0.35"/>
    <row r="16" spans="1:14" ht="14.4" thickTop="1" x14ac:dyDescent="0.3">
      <c r="A16" s="35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8"/>
    </row>
    <row r="17" spans="1:15" ht="15" x14ac:dyDescent="0.3">
      <c r="A17" s="41"/>
      <c r="B17" s="105" t="s">
        <v>67</v>
      </c>
      <c r="C17" s="105"/>
      <c r="D17" s="105"/>
      <c r="E17" s="24"/>
      <c r="F17" s="24"/>
      <c r="G17" s="24"/>
      <c r="H17" s="24"/>
      <c r="I17" s="24"/>
      <c r="J17" s="24"/>
      <c r="K17" s="24"/>
      <c r="L17" s="24"/>
      <c r="M17" s="24"/>
      <c r="N17" s="42"/>
    </row>
    <row r="18" spans="1:15" x14ac:dyDescent="0.3">
      <c r="A18" s="41"/>
      <c r="B18" s="25"/>
      <c r="C18" s="59"/>
      <c r="D18" s="25"/>
      <c r="E18" s="24"/>
      <c r="F18" s="24"/>
      <c r="G18" s="24"/>
      <c r="H18" s="24"/>
      <c r="I18" s="24"/>
      <c r="J18" s="24"/>
      <c r="K18" s="24"/>
      <c r="L18" s="24"/>
      <c r="M18" s="24"/>
      <c r="N18" s="42"/>
    </row>
    <row r="19" spans="1:15" ht="14.4" customHeight="1" x14ac:dyDescent="0.3">
      <c r="A19" s="41"/>
      <c r="B19" s="26" t="s">
        <v>103</v>
      </c>
      <c r="C19" s="123" t="s">
        <v>104</v>
      </c>
      <c r="D19" s="123"/>
      <c r="E19" s="123" t="s">
        <v>122</v>
      </c>
      <c r="F19" s="123"/>
      <c r="G19" s="123" t="s">
        <v>106</v>
      </c>
      <c r="H19" s="123"/>
      <c r="I19" s="123"/>
      <c r="J19" s="123" t="s">
        <v>107</v>
      </c>
      <c r="K19" s="123"/>
      <c r="L19" s="123"/>
      <c r="M19" s="123"/>
      <c r="N19" s="42"/>
    </row>
    <row r="20" spans="1:15" ht="14.4" customHeight="1" x14ac:dyDescent="0.3">
      <c r="A20" s="41"/>
      <c r="B20" s="22">
        <v>1</v>
      </c>
      <c r="C20" s="131"/>
      <c r="D20" s="131"/>
      <c r="E20" s="125"/>
      <c r="F20" s="125"/>
      <c r="G20" s="73"/>
      <c r="H20" s="71"/>
      <c r="I20" s="71"/>
      <c r="J20" s="128"/>
      <c r="K20" s="128"/>
      <c r="L20" s="128"/>
      <c r="M20" s="128"/>
      <c r="N20" s="42"/>
    </row>
    <row r="21" spans="1:15" ht="14.4" customHeight="1" x14ac:dyDescent="0.3">
      <c r="A21" s="41"/>
      <c r="B21" s="84">
        <v>2</v>
      </c>
      <c r="C21" s="132"/>
      <c r="D21" s="132"/>
      <c r="E21" s="133"/>
      <c r="F21" s="133"/>
      <c r="G21" s="83"/>
      <c r="H21" s="82"/>
      <c r="I21" s="81"/>
      <c r="J21" s="128"/>
      <c r="K21" s="128"/>
      <c r="L21" s="128"/>
      <c r="M21" s="128"/>
      <c r="N21" s="42"/>
    </row>
    <row r="22" spans="1:15" ht="14.4" customHeight="1" x14ac:dyDescent="0.3">
      <c r="A22" s="41"/>
      <c r="B22" s="69">
        <v>2</v>
      </c>
      <c r="C22" s="132"/>
      <c r="D22" s="132"/>
      <c r="E22" s="133"/>
      <c r="F22" s="133"/>
      <c r="G22" s="72"/>
      <c r="H22" s="70"/>
      <c r="I22" s="71"/>
      <c r="J22" s="128"/>
      <c r="K22" s="128"/>
      <c r="L22" s="128"/>
      <c r="M22" s="128"/>
      <c r="N22" s="42"/>
    </row>
    <row r="23" spans="1:15" x14ac:dyDescent="0.3">
      <c r="A23" s="41"/>
      <c r="B23" s="25"/>
      <c r="C23" s="59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53"/>
    </row>
    <row r="24" spans="1:15" ht="14.4" customHeight="1" x14ac:dyDescent="0.3">
      <c r="A24" s="41"/>
      <c r="B24" s="61" t="s">
        <v>102</v>
      </c>
      <c r="C24" s="125"/>
      <c r="D24" s="125"/>
      <c r="E24" s="25"/>
      <c r="F24" s="109" t="s">
        <v>108</v>
      </c>
      <c r="G24" s="109"/>
      <c r="H24" s="109"/>
      <c r="I24" s="109"/>
      <c r="J24" s="109"/>
      <c r="K24" s="125"/>
      <c r="L24" s="125"/>
      <c r="M24" s="25"/>
      <c r="N24" s="53"/>
    </row>
    <row r="25" spans="1:15" ht="14.4" thickBot="1" x14ac:dyDescent="0.35">
      <c r="A25" s="4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</row>
    <row r="26" spans="1:15" ht="15" thickTop="1" thickBot="1" x14ac:dyDescent="0.35">
      <c r="E26" s="24"/>
      <c r="F26" s="24"/>
      <c r="G26" s="24"/>
      <c r="H26" s="24"/>
      <c r="I26" s="24"/>
      <c r="J26" s="24"/>
      <c r="K26" s="24"/>
      <c r="L26" s="24"/>
      <c r="M26" s="24"/>
      <c r="N26" s="24"/>
    </row>
    <row r="27" spans="1:15" ht="14.4" thickTop="1" x14ac:dyDescent="0.3">
      <c r="A27" s="35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8"/>
    </row>
    <row r="28" spans="1:15" s="29" customFormat="1" ht="15" x14ac:dyDescent="0.3">
      <c r="A28" s="39"/>
      <c r="B28" s="105" t="s">
        <v>109</v>
      </c>
      <c r="C28" s="105"/>
      <c r="D28" s="105"/>
      <c r="E28" s="105"/>
      <c r="F28" s="105"/>
      <c r="G28" s="105"/>
      <c r="H28" s="105"/>
      <c r="I28" s="105"/>
      <c r="J28" s="31"/>
      <c r="K28" s="31"/>
      <c r="L28" s="31"/>
      <c r="M28" s="31"/>
      <c r="N28" s="40"/>
    </row>
    <row r="29" spans="1:15" x14ac:dyDescent="0.3">
      <c r="A29" s="4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42"/>
    </row>
    <row r="30" spans="1:15" ht="14.4" customHeight="1" x14ac:dyDescent="0.3">
      <c r="A30" s="41"/>
      <c r="B30" s="26" t="s">
        <v>103</v>
      </c>
      <c r="C30" s="123" t="s">
        <v>110</v>
      </c>
      <c r="D30" s="123"/>
      <c r="E30" s="123"/>
      <c r="F30" s="123" t="s">
        <v>122</v>
      </c>
      <c r="G30" s="123"/>
      <c r="H30" s="123" t="s">
        <v>106</v>
      </c>
      <c r="I30" s="123"/>
      <c r="J30" s="123"/>
      <c r="K30" s="123" t="s">
        <v>107</v>
      </c>
      <c r="L30" s="123"/>
      <c r="M30" s="123"/>
      <c r="N30" s="51"/>
      <c r="O30" s="24"/>
    </row>
    <row r="31" spans="1:15" ht="14.4" customHeight="1" x14ac:dyDescent="0.3">
      <c r="A31" s="41"/>
      <c r="B31" s="22">
        <v>1</v>
      </c>
      <c r="C31" s="101"/>
      <c r="D31" s="101"/>
      <c r="E31" s="101"/>
      <c r="F31" s="124"/>
      <c r="G31" s="124"/>
      <c r="H31" s="76"/>
      <c r="I31" s="76"/>
      <c r="J31" s="76"/>
      <c r="K31" s="128"/>
      <c r="L31" s="128"/>
      <c r="M31" s="128"/>
      <c r="N31" s="52"/>
    </row>
    <row r="32" spans="1:15" ht="14.4" customHeight="1" x14ac:dyDescent="0.3">
      <c r="A32" s="41"/>
      <c r="B32" s="84">
        <v>2</v>
      </c>
      <c r="C32" s="86"/>
      <c r="D32" s="86"/>
      <c r="E32" s="86"/>
      <c r="F32" s="85"/>
      <c r="G32" s="85"/>
      <c r="H32" s="81"/>
      <c r="I32" s="81"/>
      <c r="J32" s="81"/>
      <c r="K32" s="80"/>
      <c r="L32" s="80"/>
      <c r="M32" s="80"/>
      <c r="N32" s="52"/>
    </row>
    <row r="33" spans="1:14" ht="14.4" customHeight="1" x14ac:dyDescent="0.3">
      <c r="A33" s="41"/>
      <c r="B33" s="77">
        <v>3</v>
      </c>
      <c r="C33" s="79"/>
      <c r="D33" s="79"/>
      <c r="E33" s="79"/>
      <c r="F33" s="78"/>
      <c r="G33" s="78"/>
      <c r="H33" s="76"/>
      <c r="I33" s="76"/>
      <c r="J33" s="76"/>
      <c r="K33" s="75"/>
      <c r="L33" s="75"/>
      <c r="M33" s="75"/>
      <c r="N33" s="52"/>
    </row>
    <row r="34" spans="1:14" x14ac:dyDescent="0.3">
      <c r="A34" s="41"/>
      <c r="B34" s="24"/>
      <c r="C34" s="61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42"/>
    </row>
    <row r="35" spans="1:14" ht="14.4" customHeight="1" x14ac:dyDescent="0.3">
      <c r="A35" s="41"/>
      <c r="B35" s="61" t="s">
        <v>102</v>
      </c>
      <c r="C35" s="125"/>
      <c r="D35" s="125"/>
      <c r="E35" s="25"/>
      <c r="F35" s="109" t="s">
        <v>108</v>
      </c>
      <c r="G35" s="109"/>
      <c r="H35" s="109"/>
      <c r="I35" s="109"/>
      <c r="J35" s="109"/>
      <c r="K35" s="125"/>
      <c r="L35" s="125"/>
      <c r="M35" s="24"/>
      <c r="N35" s="42"/>
    </row>
    <row r="36" spans="1:14" ht="14.4" thickBot="1" x14ac:dyDescent="0.35">
      <c r="A36" s="4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50"/>
    </row>
    <row r="37" spans="1:14" ht="15" thickTop="1" thickBot="1" x14ac:dyDescent="0.35"/>
    <row r="38" spans="1:14" ht="14.4" thickTop="1" x14ac:dyDescent="0.3">
      <c r="A38" s="35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8"/>
    </row>
    <row r="39" spans="1:14" s="29" customFormat="1" ht="15" x14ac:dyDescent="0.3">
      <c r="A39" s="39"/>
      <c r="B39" s="105" t="s">
        <v>112</v>
      </c>
      <c r="C39" s="105"/>
      <c r="D39" s="105"/>
      <c r="E39" s="31"/>
      <c r="F39" s="31"/>
      <c r="G39" s="31"/>
      <c r="H39" s="31"/>
      <c r="I39" s="31"/>
      <c r="J39" s="31"/>
      <c r="K39" s="31"/>
      <c r="L39" s="31"/>
      <c r="M39" s="31"/>
      <c r="N39" s="40"/>
    </row>
    <row r="40" spans="1:14" x14ac:dyDescent="0.3">
      <c r="A40" s="41"/>
      <c r="B40" s="24"/>
      <c r="C40" s="61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42"/>
    </row>
    <row r="41" spans="1:14" x14ac:dyDescent="0.3">
      <c r="A41" s="41"/>
      <c r="B41" s="95" t="s">
        <v>111</v>
      </c>
      <c r="C41" s="95"/>
      <c r="D41" s="95"/>
      <c r="E41" s="129"/>
      <c r="F41" s="129"/>
      <c r="G41" s="24"/>
      <c r="H41" s="122" t="s">
        <v>113</v>
      </c>
      <c r="I41" s="122"/>
      <c r="J41" s="122"/>
      <c r="K41" s="127"/>
      <c r="L41" s="127"/>
      <c r="M41" s="32"/>
      <c r="N41" s="42"/>
    </row>
    <row r="42" spans="1:14" x14ac:dyDescent="0.3">
      <c r="A42" s="41"/>
      <c r="B42" s="24"/>
      <c r="C42" s="61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42"/>
    </row>
    <row r="43" spans="1:14" x14ac:dyDescent="0.3">
      <c r="A43" s="41"/>
      <c r="B43" s="95" t="s">
        <v>114</v>
      </c>
      <c r="C43" s="95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42"/>
    </row>
    <row r="44" spans="1:14" x14ac:dyDescent="0.3">
      <c r="A44" s="41"/>
      <c r="B44" s="24"/>
      <c r="C44" s="62"/>
      <c r="D44" s="134"/>
      <c r="E44" s="134"/>
      <c r="F44" s="134"/>
      <c r="G44" s="134"/>
      <c r="H44" s="134"/>
      <c r="I44" s="134"/>
      <c r="J44" s="134"/>
      <c r="K44" s="134"/>
      <c r="L44" s="134"/>
      <c r="M44" s="134"/>
      <c r="N44" s="42"/>
    </row>
    <row r="45" spans="1:14" ht="14.4" thickBot="1" x14ac:dyDescent="0.35">
      <c r="A45" s="44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50"/>
    </row>
    <row r="46" spans="1:14" ht="15" thickTop="1" thickBot="1" x14ac:dyDescent="0.35">
      <c r="B46" s="27"/>
      <c r="C46" s="58"/>
      <c r="D46" s="27"/>
      <c r="E46" s="28"/>
      <c r="F46" s="28"/>
      <c r="G46" s="28"/>
      <c r="H46" s="28"/>
      <c r="I46" s="28"/>
      <c r="J46" s="28"/>
      <c r="K46" s="28"/>
    </row>
    <row r="47" spans="1:14" ht="14.4" thickTop="1" x14ac:dyDescent="0.3">
      <c r="A47" s="35"/>
      <c r="B47" s="48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8"/>
    </row>
    <row r="48" spans="1:14" s="29" customFormat="1" ht="15" x14ac:dyDescent="0.3">
      <c r="A48" s="39"/>
      <c r="B48" s="105" t="s">
        <v>86</v>
      </c>
      <c r="C48" s="105"/>
      <c r="E48" s="65" t="s">
        <v>58</v>
      </c>
      <c r="F48" s="31"/>
      <c r="H48" s="31"/>
      <c r="I48" s="31"/>
      <c r="J48" s="31"/>
      <c r="K48" s="31"/>
      <c r="L48" s="31"/>
      <c r="M48" s="31"/>
      <c r="N48" s="40"/>
    </row>
    <row r="49" spans="1:14" hidden="1" x14ac:dyDescent="0.3">
      <c r="A49" s="41"/>
      <c r="B49" s="24"/>
      <c r="C49" s="61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42"/>
    </row>
    <row r="50" spans="1:14" hidden="1" x14ac:dyDescent="0.3">
      <c r="A50" s="41"/>
      <c r="B50" s="95" t="s">
        <v>87</v>
      </c>
      <c r="C50" s="95"/>
      <c r="D50" s="95"/>
      <c r="E50" s="130"/>
      <c r="F50" s="130"/>
      <c r="G50" s="130"/>
      <c r="H50" s="130"/>
      <c r="I50" s="130"/>
      <c r="J50" s="109" t="s">
        <v>89</v>
      </c>
      <c r="K50" s="109"/>
      <c r="L50" s="33" t="s">
        <v>135</v>
      </c>
      <c r="M50" s="24"/>
      <c r="N50" s="42"/>
    </row>
    <row r="51" spans="1:14" hidden="1" x14ac:dyDescent="0.3">
      <c r="A51" s="41"/>
      <c r="B51" s="24"/>
      <c r="C51" s="61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42"/>
    </row>
    <row r="52" spans="1:14" hidden="1" x14ac:dyDescent="0.3">
      <c r="A52" s="41"/>
      <c r="B52" s="95" t="s">
        <v>100</v>
      </c>
      <c r="C52" s="95"/>
      <c r="D52" s="95"/>
      <c r="E52" s="104"/>
      <c r="F52" s="104"/>
      <c r="G52" s="104"/>
      <c r="H52" s="104"/>
      <c r="I52" s="104"/>
      <c r="J52" s="104"/>
      <c r="K52" s="104"/>
      <c r="L52" s="104"/>
      <c r="M52" s="104"/>
      <c r="N52" s="42"/>
    </row>
    <row r="53" spans="1:14" hidden="1" x14ac:dyDescent="0.3">
      <c r="A53" s="41"/>
      <c r="B53" s="24"/>
      <c r="C53" s="61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42"/>
    </row>
    <row r="54" spans="1:14" hidden="1" x14ac:dyDescent="0.3">
      <c r="A54" s="41"/>
      <c r="B54" s="106" t="s">
        <v>44</v>
      </c>
      <c r="C54" s="106"/>
      <c r="D54" s="106"/>
      <c r="E54" s="106"/>
      <c r="F54" s="106"/>
      <c r="G54" s="106"/>
      <c r="H54" s="106"/>
      <c r="I54" s="107"/>
      <c r="J54" s="107"/>
      <c r="K54" s="107"/>
      <c r="L54" s="107"/>
      <c r="M54" s="107"/>
      <c r="N54" s="42"/>
    </row>
    <row r="55" spans="1:14" hidden="1" x14ac:dyDescent="0.3">
      <c r="A55" s="41"/>
      <c r="B55" s="106" t="s">
        <v>43</v>
      </c>
      <c r="C55" s="106"/>
      <c r="D55" s="106"/>
      <c r="E55" s="106"/>
      <c r="F55" s="106"/>
      <c r="G55" s="106"/>
      <c r="H55" s="106"/>
      <c r="I55" s="108"/>
      <c r="J55" s="108"/>
      <c r="K55" s="108"/>
      <c r="L55" s="108"/>
      <c r="M55" s="108"/>
      <c r="N55" s="42"/>
    </row>
    <row r="56" spans="1:14" hidden="1" x14ac:dyDescent="0.3">
      <c r="A56" s="41"/>
      <c r="B56" s="106" t="s">
        <v>53</v>
      </c>
      <c r="C56" s="106"/>
      <c r="D56" s="106"/>
      <c r="E56" s="106"/>
      <c r="F56" s="106"/>
      <c r="G56" s="106"/>
      <c r="H56" s="106"/>
      <c r="I56" s="108"/>
      <c r="J56" s="108"/>
      <c r="K56" s="108"/>
      <c r="L56" s="108"/>
      <c r="M56" s="108"/>
      <c r="N56" s="42"/>
    </row>
    <row r="57" spans="1:14" hidden="1" x14ac:dyDescent="0.3">
      <c r="A57" s="41"/>
      <c r="B57" s="106" t="s">
        <v>45</v>
      </c>
      <c r="C57" s="106"/>
      <c r="D57" s="106"/>
      <c r="E57" s="106"/>
      <c r="F57" s="106"/>
      <c r="G57" s="106"/>
      <c r="H57" s="106"/>
      <c r="I57" s="108"/>
      <c r="J57" s="108"/>
      <c r="K57" s="108"/>
      <c r="L57" s="108"/>
      <c r="M57" s="108"/>
      <c r="N57" s="42"/>
    </row>
    <row r="58" spans="1:14" hidden="1" x14ac:dyDescent="0.3">
      <c r="A58" s="41"/>
      <c r="B58" s="24"/>
      <c r="C58" s="61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42"/>
    </row>
    <row r="59" spans="1:14" hidden="1" x14ac:dyDescent="0.3">
      <c r="A59" s="41"/>
      <c r="B59" s="95" t="s">
        <v>88</v>
      </c>
      <c r="C59" s="95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64"/>
    </row>
    <row r="60" spans="1:14" ht="14.4" thickBot="1" x14ac:dyDescent="0.35">
      <c r="A60" s="44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50"/>
    </row>
    <row r="61" spans="1:14" ht="15" thickTop="1" thickBot="1" x14ac:dyDescent="0.35"/>
    <row r="62" spans="1:14" ht="14.4" thickTop="1" x14ac:dyDescent="0.3">
      <c r="A62" s="35"/>
      <c r="B62" s="110"/>
      <c r="C62" s="110"/>
      <c r="D62" s="110"/>
      <c r="E62" s="110"/>
      <c r="F62" s="36"/>
      <c r="G62" s="37"/>
      <c r="H62" s="37"/>
      <c r="I62" s="37"/>
      <c r="J62" s="37"/>
      <c r="K62" s="37"/>
      <c r="L62" s="37"/>
      <c r="M62" s="37"/>
      <c r="N62" s="38"/>
    </row>
    <row r="63" spans="1:14" s="29" customFormat="1" ht="15" x14ac:dyDescent="0.3">
      <c r="A63" s="39"/>
      <c r="B63" s="105" t="s">
        <v>83</v>
      </c>
      <c r="C63" s="105"/>
      <c r="D63" s="105"/>
      <c r="E63" s="105"/>
      <c r="F63" s="105"/>
      <c r="G63" s="65" t="s">
        <v>58</v>
      </c>
      <c r="H63" s="31"/>
      <c r="I63" s="31"/>
      <c r="J63" s="31"/>
      <c r="K63" s="31"/>
      <c r="L63" s="31"/>
      <c r="M63" s="31"/>
      <c r="N63" s="40"/>
    </row>
    <row r="64" spans="1:14" hidden="1" x14ac:dyDescent="0.3">
      <c r="A64" s="41"/>
      <c r="B64" s="24"/>
      <c r="C64" s="61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42"/>
    </row>
    <row r="65" spans="1:14" hidden="1" x14ac:dyDescent="0.3">
      <c r="A65" s="41"/>
      <c r="B65" s="95" t="s">
        <v>84</v>
      </c>
      <c r="C65" s="95"/>
      <c r="D65" s="95"/>
      <c r="E65" s="99"/>
      <c r="F65" s="99"/>
      <c r="G65" s="99"/>
      <c r="H65" s="99"/>
      <c r="I65" s="99"/>
      <c r="J65" s="24"/>
      <c r="K65" s="109" t="s">
        <v>21</v>
      </c>
      <c r="L65" s="109"/>
      <c r="M65" s="34"/>
      <c r="N65" s="43"/>
    </row>
    <row r="66" spans="1:14" hidden="1" x14ac:dyDescent="0.3">
      <c r="A66" s="41"/>
      <c r="B66" s="25"/>
      <c r="C66" s="59"/>
      <c r="D66" s="25"/>
      <c r="E66" s="25"/>
      <c r="F66" s="25"/>
      <c r="G66" s="25"/>
      <c r="H66" s="25"/>
      <c r="I66" s="25"/>
      <c r="J66" s="25"/>
      <c r="K66" s="25"/>
      <c r="L66" s="22"/>
      <c r="M66" s="22"/>
      <c r="N66" s="43"/>
    </row>
    <row r="67" spans="1:14" hidden="1" x14ac:dyDescent="0.3">
      <c r="A67" s="41"/>
      <c r="B67" s="95" t="s">
        <v>85</v>
      </c>
      <c r="C67" s="95"/>
      <c r="D67" s="95"/>
      <c r="E67" s="99"/>
      <c r="F67" s="99"/>
      <c r="G67" s="99"/>
      <c r="H67" s="99"/>
      <c r="I67" s="99"/>
      <c r="J67" s="99"/>
      <c r="K67" s="99"/>
      <c r="L67" s="99"/>
      <c r="M67" s="99"/>
      <c r="N67" s="43"/>
    </row>
    <row r="68" spans="1:14" ht="14.4" thickBot="1" x14ac:dyDescent="0.35">
      <c r="A68" s="44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6"/>
      <c r="M68" s="46"/>
      <c r="N68" s="47"/>
    </row>
    <row r="69" spans="1:14" ht="14.4" thickTop="1" x14ac:dyDescent="0.3">
      <c r="B69" s="27"/>
      <c r="C69" s="58"/>
      <c r="D69" s="27"/>
      <c r="E69" s="27"/>
      <c r="F69" s="27"/>
      <c r="G69" s="27"/>
      <c r="H69" s="27"/>
      <c r="I69" s="27"/>
      <c r="J69" s="27"/>
      <c r="K69" s="27"/>
      <c r="L69" s="23"/>
      <c r="M69" s="23"/>
      <c r="N69" s="23"/>
    </row>
    <row r="70" spans="1:14" ht="14.4" customHeight="1" x14ac:dyDescent="0.3">
      <c r="A70" s="102" t="s">
        <v>68</v>
      </c>
      <c r="B70" s="102"/>
      <c r="C70" s="102"/>
      <c r="D70" s="102"/>
      <c r="E70" s="101"/>
      <c r="F70" s="101"/>
      <c r="G70" s="101"/>
      <c r="H70" s="101"/>
      <c r="I70" s="101"/>
      <c r="J70" s="28"/>
      <c r="K70" s="28"/>
    </row>
    <row r="71" spans="1:14" x14ac:dyDescent="0.3">
      <c r="A71" s="27"/>
      <c r="B71" s="27"/>
      <c r="C71" s="58"/>
      <c r="D71" s="27"/>
    </row>
    <row r="72" spans="1:14" x14ac:dyDescent="0.3">
      <c r="A72" s="27"/>
      <c r="B72" s="27"/>
      <c r="C72" s="58"/>
      <c r="D72" s="27"/>
    </row>
    <row r="73" spans="1:14" ht="14.4" customHeight="1" x14ac:dyDescent="0.3">
      <c r="A73" s="102" t="s">
        <v>66</v>
      </c>
      <c r="B73" s="102"/>
      <c r="C73" s="102"/>
      <c r="D73" s="102"/>
      <c r="E73" s="96"/>
      <c r="F73" s="96"/>
      <c r="G73" s="96"/>
      <c r="H73" s="96"/>
      <c r="I73" s="100"/>
      <c r="J73" s="100"/>
      <c r="K73" s="100"/>
      <c r="L73" s="100"/>
      <c r="M73" s="63"/>
    </row>
    <row r="74" spans="1:14" ht="16.8" x14ac:dyDescent="0.3">
      <c r="E74" s="97" t="s">
        <v>76</v>
      </c>
      <c r="F74" s="97"/>
      <c r="G74" s="98"/>
      <c r="H74" s="98"/>
      <c r="I74" s="23"/>
      <c r="J74" s="23"/>
      <c r="K74" s="23"/>
    </row>
    <row r="76" spans="1:14" ht="14.4" customHeight="1" x14ac:dyDescent="0.3">
      <c r="A76" s="103" t="s">
        <v>69</v>
      </c>
      <c r="B76" s="103"/>
      <c r="C76" s="103"/>
      <c r="D76" s="103"/>
    </row>
    <row r="78" spans="1:14" ht="14.4" customHeight="1" x14ac:dyDescent="0.3">
      <c r="A78" s="93" t="s">
        <v>70</v>
      </c>
      <c r="B78" s="93"/>
      <c r="C78" s="93"/>
      <c r="D78" s="93"/>
      <c r="E78" s="93"/>
      <c r="F78" s="93"/>
      <c r="G78" s="93"/>
      <c r="I78" s="27"/>
      <c r="J78" s="27"/>
      <c r="K78" s="27"/>
    </row>
    <row r="79" spans="1:14" ht="14.4" customHeight="1" x14ac:dyDescent="0.3">
      <c r="A79" s="93"/>
      <c r="B79" s="93"/>
      <c r="C79" s="93"/>
      <c r="D79" s="93"/>
      <c r="E79" s="93"/>
      <c r="F79" s="93"/>
      <c r="G79" s="93"/>
      <c r="I79" s="91"/>
      <c r="J79" s="91"/>
      <c r="K79" s="91"/>
      <c r="L79" s="91"/>
      <c r="M79" s="91"/>
      <c r="N79" s="91"/>
    </row>
    <row r="80" spans="1:14" ht="16.8" x14ac:dyDescent="0.25">
      <c r="A80" s="57"/>
      <c r="B80" s="57"/>
      <c r="C80" s="57"/>
      <c r="D80" s="57"/>
      <c r="E80" s="57"/>
      <c r="F80" s="57"/>
      <c r="G80" s="57"/>
      <c r="I80" s="90" t="s">
        <v>117</v>
      </c>
      <c r="J80" s="90"/>
      <c r="K80" s="90"/>
      <c r="L80" s="90"/>
      <c r="M80" s="90"/>
      <c r="N80" s="90"/>
    </row>
    <row r="81" spans="1:14" ht="14.4" customHeight="1" x14ac:dyDescent="0.3">
      <c r="A81" s="93" t="s">
        <v>71</v>
      </c>
      <c r="B81" s="93"/>
      <c r="C81" s="93"/>
      <c r="D81" s="93"/>
      <c r="E81" s="93"/>
      <c r="F81" s="93"/>
      <c r="G81" s="93"/>
      <c r="I81" s="27"/>
      <c r="J81" s="27"/>
      <c r="K81" s="27"/>
    </row>
    <row r="82" spans="1:14" ht="14.4" customHeight="1" x14ac:dyDescent="0.3">
      <c r="A82" s="93"/>
      <c r="B82" s="93"/>
      <c r="C82" s="93"/>
      <c r="D82" s="93"/>
      <c r="E82" s="93"/>
      <c r="F82" s="93"/>
      <c r="G82" s="93"/>
      <c r="I82" s="91"/>
      <c r="J82" s="91"/>
      <c r="K82" s="91"/>
      <c r="L82" s="91"/>
      <c r="M82" s="91"/>
      <c r="N82" s="91"/>
    </row>
    <row r="83" spans="1:14" ht="16.8" x14ac:dyDescent="0.25">
      <c r="A83" s="57"/>
      <c r="B83" s="57"/>
      <c r="C83" s="57"/>
      <c r="D83" s="57"/>
      <c r="E83" s="57"/>
      <c r="F83" s="57"/>
      <c r="G83" s="57"/>
      <c r="I83" s="90" t="s">
        <v>117</v>
      </c>
      <c r="J83" s="90"/>
      <c r="K83" s="90"/>
      <c r="L83" s="90"/>
      <c r="M83" s="90"/>
      <c r="N83" s="90"/>
    </row>
    <row r="84" spans="1:14" ht="14.4" customHeight="1" x14ac:dyDescent="0.3">
      <c r="A84" s="94" t="s">
        <v>72</v>
      </c>
      <c r="B84" s="94"/>
      <c r="C84" s="94"/>
      <c r="D84" s="94"/>
      <c r="E84" s="94"/>
      <c r="F84" s="94"/>
      <c r="G84" s="94"/>
      <c r="I84" s="27"/>
      <c r="J84" s="27"/>
      <c r="K84" s="27"/>
    </row>
    <row r="85" spans="1:14" ht="14.4" customHeight="1" x14ac:dyDescent="0.3">
      <c r="A85" s="94"/>
      <c r="B85" s="94"/>
      <c r="C85" s="94"/>
      <c r="D85" s="94"/>
      <c r="E85" s="94"/>
      <c r="F85" s="94"/>
      <c r="G85" s="94"/>
      <c r="I85" s="91"/>
      <c r="J85" s="91"/>
      <c r="K85" s="91"/>
      <c r="L85" s="91"/>
      <c r="M85" s="91"/>
      <c r="N85" s="91"/>
    </row>
    <row r="86" spans="1:14" ht="16.8" x14ac:dyDescent="0.25">
      <c r="A86" s="57"/>
      <c r="B86" s="57"/>
      <c r="C86" s="57"/>
      <c r="D86" s="57"/>
      <c r="E86" s="57"/>
      <c r="F86" s="57"/>
      <c r="G86" s="57"/>
      <c r="I86" s="92" t="s">
        <v>117</v>
      </c>
      <c r="J86" s="92"/>
      <c r="K86" s="92"/>
      <c r="L86" s="92"/>
      <c r="M86" s="92"/>
      <c r="N86" s="92"/>
    </row>
    <row r="87" spans="1:14" ht="14.4" customHeight="1" x14ac:dyDescent="0.3">
      <c r="A87" s="93" t="s">
        <v>73</v>
      </c>
      <c r="B87" s="93"/>
      <c r="C87" s="93"/>
      <c r="D87" s="93"/>
      <c r="E87" s="93"/>
      <c r="F87" s="93"/>
      <c r="G87" s="93"/>
      <c r="I87" s="27"/>
      <c r="J87" s="27"/>
      <c r="K87" s="27"/>
    </row>
    <row r="88" spans="1:14" ht="14.4" customHeight="1" x14ac:dyDescent="0.3">
      <c r="A88" s="93"/>
      <c r="B88" s="93"/>
      <c r="C88" s="93"/>
      <c r="D88" s="93"/>
      <c r="E88" s="93"/>
      <c r="F88" s="93"/>
      <c r="G88" s="93"/>
      <c r="I88" s="91"/>
      <c r="J88" s="91"/>
      <c r="K88" s="91"/>
      <c r="L88" s="91"/>
      <c r="M88" s="91"/>
      <c r="N88" s="91"/>
    </row>
    <row r="89" spans="1:14" ht="16.8" x14ac:dyDescent="0.25">
      <c r="A89" s="57"/>
      <c r="B89" s="57"/>
      <c r="C89" s="57"/>
      <c r="D89" s="57"/>
      <c r="E89" s="57"/>
      <c r="F89" s="57"/>
      <c r="G89" s="57"/>
      <c r="I89" s="90" t="s">
        <v>117</v>
      </c>
      <c r="J89" s="90"/>
      <c r="K89" s="90"/>
      <c r="L89" s="90"/>
      <c r="M89" s="90"/>
      <c r="N89" s="90"/>
    </row>
    <row r="90" spans="1:14" ht="14.4" customHeight="1" x14ac:dyDescent="0.3">
      <c r="A90" s="93" t="s">
        <v>74</v>
      </c>
      <c r="B90" s="93"/>
      <c r="C90" s="93"/>
      <c r="D90" s="93"/>
      <c r="E90" s="93"/>
      <c r="F90" s="93"/>
      <c r="G90" s="93"/>
      <c r="I90" s="27"/>
      <c r="J90" s="27"/>
      <c r="K90" s="27"/>
    </row>
    <row r="91" spans="1:14" ht="14.4" customHeight="1" x14ac:dyDescent="0.3">
      <c r="A91" s="93"/>
      <c r="B91" s="93"/>
      <c r="C91" s="93"/>
      <c r="D91" s="93"/>
      <c r="E91" s="93"/>
      <c r="F91" s="93"/>
      <c r="G91" s="93"/>
      <c r="I91" s="91"/>
      <c r="J91" s="91"/>
      <c r="K91" s="91"/>
      <c r="L91" s="91"/>
      <c r="M91" s="91"/>
      <c r="N91" s="91"/>
    </row>
    <row r="92" spans="1:14" ht="16.8" x14ac:dyDescent="0.3">
      <c r="I92" s="90" t="s">
        <v>117</v>
      </c>
      <c r="J92" s="90"/>
      <c r="K92" s="90"/>
      <c r="L92" s="90"/>
      <c r="M92" s="90"/>
      <c r="N92" s="90"/>
    </row>
  </sheetData>
  <dataConsolidate/>
  <mergeCells count="99">
    <mergeCell ref="E21:F21"/>
    <mergeCell ref="J21:M21"/>
    <mergeCell ref="C19:D19"/>
    <mergeCell ref="B17:D17"/>
    <mergeCell ref="A14:B14"/>
    <mergeCell ref="E50:I50"/>
    <mergeCell ref="B28:I28"/>
    <mergeCell ref="F24:J24"/>
    <mergeCell ref="E19:F19"/>
    <mergeCell ref="G19:I19"/>
    <mergeCell ref="J19:M19"/>
    <mergeCell ref="J20:M20"/>
    <mergeCell ref="E20:F20"/>
    <mergeCell ref="C20:D20"/>
    <mergeCell ref="C22:D22"/>
    <mergeCell ref="E22:F22"/>
    <mergeCell ref="J22:M22"/>
    <mergeCell ref="K35:L35"/>
    <mergeCell ref="D44:M44"/>
    <mergeCell ref="C21:D21"/>
    <mergeCell ref="D43:M43"/>
    <mergeCell ref="K41:L41"/>
    <mergeCell ref="B50:D50"/>
    <mergeCell ref="C24:D24"/>
    <mergeCell ref="C35:D35"/>
    <mergeCell ref="F35:J35"/>
    <mergeCell ref="J50:K50"/>
    <mergeCell ref="C30:E30"/>
    <mergeCell ref="B48:C48"/>
    <mergeCell ref="B43:C43"/>
    <mergeCell ref="B41:D41"/>
    <mergeCell ref="H30:J30"/>
    <mergeCell ref="K30:M30"/>
    <mergeCell ref="K31:M31"/>
    <mergeCell ref="E41:F41"/>
    <mergeCell ref="B39:D39"/>
    <mergeCell ref="H41:J41"/>
    <mergeCell ref="F30:G30"/>
    <mergeCell ref="F31:G31"/>
    <mergeCell ref="C31:E31"/>
    <mergeCell ref="K24:L24"/>
    <mergeCell ref="L1:N1"/>
    <mergeCell ref="L2:N2"/>
    <mergeCell ref="A1:D1"/>
    <mergeCell ref="G4:K4"/>
    <mergeCell ref="F14:M14"/>
    <mergeCell ref="F12:M12"/>
    <mergeCell ref="A8:G8"/>
    <mergeCell ref="H8:N8"/>
    <mergeCell ref="L4:N4"/>
    <mergeCell ref="A9:N9"/>
    <mergeCell ref="A10:N10"/>
    <mergeCell ref="D6:I6"/>
    <mergeCell ref="A6:C6"/>
    <mergeCell ref="C12:E12"/>
    <mergeCell ref="C14:E14"/>
    <mergeCell ref="A12:B12"/>
    <mergeCell ref="E52:M52"/>
    <mergeCell ref="B52:D52"/>
    <mergeCell ref="E65:I65"/>
    <mergeCell ref="B63:F63"/>
    <mergeCell ref="B54:H54"/>
    <mergeCell ref="B55:H55"/>
    <mergeCell ref="B56:H56"/>
    <mergeCell ref="B57:H57"/>
    <mergeCell ref="I54:M54"/>
    <mergeCell ref="I55:M55"/>
    <mergeCell ref="I56:M56"/>
    <mergeCell ref="I57:M57"/>
    <mergeCell ref="K65:L65"/>
    <mergeCell ref="B59:C59"/>
    <mergeCell ref="D59:M59"/>
    <mergeCell ref="B62:E62"/>
    <mergeCell ref="A81:G82"/>
    <mergeCell ref="I79:N79"/>
    <mergeCell ref="A70:D70"/>
    <mergeCell ref="A73:D73"/>
    <mergeCell ref="A76:D76"/>
    <mergeCell ref="E67:M67"/>
    <mergeCell ref="I73:L73"/>
    <mergeCell ref="E70:I70"/>
    <mergeCell ref="B67:D67"/>
    <mergeCell ref="A78:G79"/>
    <mergeCell ref="E1:J1"/>
    <mergeCell ref="I92:N92"/>
    <mergeCell ref="I85:N85"/>
    <mergeCell ref="I80:N80"/>
    <mergeCell ref="I83:N83"/>
    <mergeCell ref="I82:N82"/>
    <mergeCell ref="I88:N88"/>
    <mergeCell ref="I91:N91"/>
    <mergeCell ref="I86:N86"/>
    <mergeCell ref="I89:N89"/>
    <mergeCell ref="A87:G88"/>
    <mergeCell ref="A90:G91"/>
    <mergeCell ref="A84:G85"/>
    <mergeCell ref="B65:D65"/>
    <mergeCell ref="E73:H73"/>
    <mergeCell ref="E74:H74"/>
  </mergeCells>
  <conditionalFormatting sqref="C12 C14">
    <cfRule type="expression" dxfId="29" priority="1">
      <formula>валюта_продажи="USD"</formula>
    </cfRule>
    <cfRule type="expression" dxfId="28" priority="2">
      <formula>валюта_продажи="EUR"</formula>
    </cfRule>
    <cfRule type="expression" dxfId="27" priority="3">
      <formula>валюта_продажи="RUR"</formula>
    </cfRule>
  </conditionalFormatting>
  <dataValidations count="11">
    <dataValidation type="list" allowBlank="1" showInputMessage="1" showErrorMessage="1" sqref="I73:L73">
      <formula1>менеджеры</formula1>
    </dataValidation>
    <dataValidation type="list" allowBlank="1" showInputMessage="1" showErrorMessage="1" sqref="L50">
      <formula1>"44 ФЗ,223 ФЗ,ГК РФ"</formula1>
    </dataValidation>
    <dataValidation type="list" allowBlank="1" showInputMessage="1" showErrorMessage="1" sqref="E48 G63 I63:K63">
      <formula1>"да,нет"</formula1>
    </dataValidation>
    <dataValidation type="list" allowBlank="1" showInputMessage="1" showErrorMessage="1" sqref="E65">
      <formula1>"банковская гарантия,собственные средства"</formula1>
    </dataValidation>
    <dataValidation type="list" allowBlank="1" showInputMessage="1" showErrorMessage="1" sqref="E52:F52">
      <formula1>способы_проведения_тендеров</formula1>
    </dataValidation>
    <dataValidation type="list" allowBlank="1" showInputMessage="1" showErrorMessage="1" sqref="I31:I33 H20:H22">
      <formula1>"раб.,кал."</formula1>
    </dataValidation>
    <dataValidation type="list" allowBlank="1" showInputMessage="1" showErrorMessage="1" sqref="J31:J33 I20:I22">
      <formula1>"дн.,нед.,мес."</formula1>
    </dataValidation>
    <dataValidation operator="greaterThanOrEqual" allowBlank="1" showInputMessage="1" showErrorMessage="1" sqref="E41:F41"/>
    <dataValidation type="list" allowBlank="1" showInputMessage="1" showErrorMessage="1" sqref="C20:C22">
      <formula1>"аванс,постоплата"</formula1>
    </dataValidation>
    <dataValidation type="whole" operator="greaterThanOrEqual" allowBlank="1" showInputMessage="1" showErrorMessage="1" sqref="H31:H33 G20:G22">
      <formula1>0</formula1>
    </dataValidation>
    <dataValidation type="decimal" allowBlank="1" showInputMessage="1" showErrorMessage="1" sqref="F31:G33 E20:F22">
      <formula1>0</formula1>
      <formula2>100</formula2>
    </dataValidation>
  </dataValidations>
  <pageMargins left="0.7" right="0.7" top="0.75" bottom="0.75" header="0.3" footer="0.3"/>
  <pageSetup paperSize="9" orientation="portrait" horizontalDpi="4294967295" verticalDpi="4294967295" r:id="rId1"/>
  <rowBreaks count="1" manualBreakCount="1">
    <brk id="45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outlinePr summaryRight="0"/>
    <pageSetUpPr fitToPage="1"/>
  </sheetPr>
  <dimension ref="A1:AH30"/>
  <sheetViews>
    <sheetView tabSelected="1" zoomScaleNormal="100" workbookViewId="0">
      <selection activeCell="D17" sqref="D17"/>
    </sheetView>
  </sheetViews>
  <sheetFormatPr defaultColWidth="9.109375" defaultRowHeight="13.2" outlineLevelCol="1" x14ac:dyDescent="0.25"/>
  <cols>
    <col min="1" max="1" width="8.109375" style="135" customWidth="1"/>
    <col min="2" max="2" width="18.44140625" style="135" bestFit="1" customWidth="1"/>
    <col min="3" max="3" width="24.5546875" style="135" customWidth="1"/>
    <col min="4" max="4" width="49.33203125" style="135" customWidth="1"/>
    <col min="5" max="5" width="9.5546875" style="135" customWidth="1"/>
    <col min="6" max="6" width="12.44140625" style="135" customWidth="1"/>
    <col min="7" max="7" width="15.109375" style="135" customWidth="1"/>
    <col min="8" max="8" width="15.88671875" style="135" customWidth="1"/>
    <col min="9" max="9" width="15.44140625" style="135" customWidth="1"/>
    <col min="10" max="10" width="14.33203125" style="135" customWidth="1" outlineLevel="1"/>
    <col min="11" max="13" width="12.44140625" style="135" customWidth="1" outlineLevel="1"/>
    <col min="14" max="14" width="15.44140625" style="135" customWidth="1"/>
    <col min="15" max="15" width="9" style="304" customWidth="1" outlineLevel="1"/>
    <col min="16" max="17" width="17.44140625" style="135" customWidth="1" outlineLevel="1"/>
    <col min="18" max="18" width="11" style="135" customWidth="1" outlineLevel="1"/>
    <col min="19" max="19" width="18.33203125" style="135" customWidth="1" outlineLevel="1"/>
    <col min="20" max="20" width="10.6640625" style="135" customWidth="1" outlineLevel="1"/>
    <col min="21" max="21" width="9" style="135" customWidth="1"/>
    <col min="22" max="22" width="17.44140625" style="135" customWidth="1"/>
    <col min="23" max="23" width="18.33203125" style="135" customWidth="1"/>
    <col min="24" max="24" width="11" style="135" customWidth="1"/>
    <col min="25" max="25" width="18.33203125" style="135" customWidth="1"/>
    <col min="26" max="26" width="13.6640625" style="306" customWidth="1"/>
    <col min="27" max="27" width="14.44140625" style="135" customWidth="1"/>
    <col min="28" max="28" width="42.109375" style="135" customWidth="1"/>
    <col min="29" max="32" width="11.6640625" style="135" customWidth="1" outlineLevel="1"/>
    <col min="33" max="33" width="15.88671875" style="135" hidden="1" customWidth="1"/>
    <col min="34" max="34" width="14.88671875" style="135" hidden="1" customWidth="1"/>
    <col min="35" max="16384" width="9.109375" style="135"/>
  </cols>
  <sheetData>
    <row r="1" spans="1:34" s="143" customFormat="1" ht="14.4" x14ac:dyDescent="0.3">
      <c r="A1" s="135"/>
      <c r="B1" s="135"/>
      <c r="C1" s="135"/>
      <c r="D1" s="135"/>
      <c r="E1" s="135"/>
      <c r="F1" s="135"/>
      <c r="G1" s="135"/>
      <c r="H1" s="135"/>
      <c r="I1" s="136" t="s">
        <v>254</v>
      </c>
      <c r="J1" s="137"/>
      <c r="K1" s="137"/>
      <c r="L1" s="137"/>
      <c r="M1" s="137"/>
      <c r="N1" s="138" t="s">
        <v>233</v>
      </c>
      <c r="O1" s="139"/>
      <c r="P1" s="140"/>
      <c r="Q1" s="140"/>
      <c r="R1" s="141"/>
      <c r="S1" s="140"/>
      <c r="T1" s="140"/>
      <c r="U1" s="140"/>
      <c r="V1" s="142"/>
      <c r="X1" s="144"/>
      <c r="Z1" s="144"/>
      <c r="AA1" s="144"/>
      <c r="AB1" s="135"/>
    </row>
    <row r="2" spans="1:34" s="143" customFormat="1" ht="13.8" x14ac:dyDescent="0.25">
      <c r="A2" s="145" t="s">
        <v>10</v>
      </c>
      <c r="B2" s="145"/>
      <c r="C2" s="145"/>
      <c r="D2" s="145"/>
      <c r="E2" s="145"/>
      <c r="F2" s="145"/>
      <c r="G2" s="145"/>
      <c r="H2" s="145"/>
      <c r="I2" s="146"/>
      <c r="J2" s="146"/>
      <c r="K2" s="146"/>
      <c r="L2" s="146"/>
      <c r="M2" s="146"/>
      <c r="N2" s="136" t="s">
        <v>232</v>
      </c>
      <c r="O2" s="147"/>
      <c r="P2" s="148"/>
      <c r="Q2" s="148"/>
      <c r="R2" s="149"/>
      <c r="S2" s="148"/>
      <c r="T2" s="146"/>
      <c r="U2" s="138" t="s">
        <v>231</v>
      </c>
      <c r="X2" s="150"/>
      <c r="Z2" s="150"/>
      <c r="AA2" s="150"/>
      <c r="AB2" s="135"/>
    </row>
    <row r="3" spans="1:34" s="143" customFormat="1" x14ac:dyDescent="0.25">
      <c r="D3" s="151"/>
      <c r="E3" s="151"/>
      <c r="O3" s="152"/>
      <c r="R3" s="150"/>
      <c r="X3" s="150"/>
      <c r="AB3" s="135"/>
    </row>
    <row r="4" spans="1:34" s="143" customFormat="1" ht="14.4" customHeight="1" x14ac:dyDescent="0.4">
      <c r="A4" s="153" t="s">
        <v>65</v>
      </c>
      <c r="B4" s="153"/>
      <c r="C4" s="154"/>
      <c r="D4" s="155" t="s">
        <v>200</v>
      </c>
      <c r="E4" s="156" t="s">
        <v>20</v>
      </c>
      <c r="G4" s="157" t="s">
        <v>18</v>
      </c>
      <c r="H4" s="158"/>
      <c r="O4" s="152"/>
      <c r="R4" s="159"/>
      <c r="X4" s="159"/>
      <c r="AB4" s="135"/>
    </row>
    <row r="5" spans="1:34" s="143" customFormat="1" ht="14.4" customHeight="1" x14ac:dyDescent="0.25">
      <c r="A5" s="153" t="s">
        <v>131</v>
      </c>
      <c r="B5" s="153"/>
      <c r="C5" s="160"/>
      <c r="D5" s="161" t="s">
        <v>201</v>
      </c>
      <c r="E5" s="156" t="s">
        <v>24</v>
      </c>
      <c r="G5" s="161" t="s">
        <v>0</v>
      </c>
      <c r="H5" s="162">
        <v>60</v>
      </c>
      <c r="O5" s="152"/>
      <c r="P5" s="163"/>
      <c r="Q5" s="163"/>
      <c r="R5" s="159"/>
      <c r="S5" s="163"/>
      <c r="U5" s="163"/>
      <c r="W5" s="163"/>
      <c r="X5" s="159"/>
      <c r="Y5" s="163"/>
      <c r="AB5" s="164"/>
      <c r="AC5" s="163"/>
      <c r="AD5" s="163"/>
      <c r="AE5" s="163"/>
      <c r="AF5" s="163"/>
    </row>
    <row r="6" spans="1:34" s="143" customFormat="1" ht="14.4" customHeight="1" x14ac:dyDescent="0.25">
      <c r="A6" s="153" t="s">
        <v>67</v>
      </c>
      <c r="B6" s="153"/>
      <c r="C6" s="154"/>
      <c r="D6" s="161" t="s">
        <v>123</v>
      </c>
      <c r="E6" s="156" t="s">
        <v>57</v>
      </c>
      <c r="G6" s="161" t="s">
        <v>1</v>
      </c>
      <c r="H6" s="162">
        <v>72</v>
      </c>
      <c r="O6" s="152"/>
      <c r="R6" s="159"/>
      <c r="V6" s="142"/>
      <c r="X6" s="159"/>
      <c r="AB6" s="135"/>
    </row>
    <row r="7" spans="1:34" s="143" customFormat="1" ht="14.4" customHeight="1" x14ac:dyDescent="0.25">
      <c r="A7" s="153" t="s">
        <v>130</v>
      </c>
      <c r="B7" s="153"/>
      <c r="C7" s="165"/>
      <c r="O7" s="152"/>
      <c r="R7" s="159"/>
      <c r="V7" s="142"/>
      <c r="X7" s="159"/>
      <c r="AB7" s="135"/>
    </row>
    <row r="8" spans="1:34" s="143" customFormat="1" ht="14.4" customHeight="1" x14ac:dyDescent="0.4">
      <c r="A8" s="166"/>
      <c r="B8" s="166"/>
      <c r="C8" s="152"/>
      <c r="D8" s="167" t="s">
        <v>126</v>
      </c>
      <c r="E8" s="168"/>
      <c r="O8" s="152"/>
      <c r="R8" s="169"/>
      <c r="V8" s="142"/>
      <c r="X8" s="169"/>
      <c r="AA8" s="170"/>
      <c r="AB8" s="135"/>
    </row>
    <row r="9" spans="1:34" s="143" customFormat="1" ht="14.4" customHeight="1" x14ac:dyDescent="0.4">
      <c r="A9" s="153" t="s">
        <v>132</v>
      </c>
      <c r="B9" s="153"/>
      <c r="C9" s="171"/>
      <c r="D9" s="172" t="s">
        <v>127</v>
      </c>
      <c r="E9" s="173"/>
      <c r="G9" s="174" t="s">
        <v>238</v>
      </c>
      <c r="H9" s="175"/>
      <c r="O9" s="152"/>
      <c r="R9" s="169"/>
      <c r="V9" s="142"/>
      <c r="X9" s="169"/>
    </row>
    <row r="10" spans="1:34" s="143" customFormat="1" ht="14.4" customHeight="1" x14ac:dyDescent="0.25">
      <c r="A10" s="153" t="s">
        <v>133</v>
      </c>
      <c r="B10" s="153"/>
      <c r="C10" s="176"/>
      <c r="D10" s="172" t="s">
        <v>128</v>
      </c>
      <c r="E10" s="177"/>
      <c r="G10" s="178" t="s">
        <v>0</v>
      </c>
      <c r="H10" s="179">
        <v>57.652700000000003</v>
      </c>
      <c r="O10" s="152"/>
      <c r="R10" s="169"/>
      <c r="V10" s="142"/>
      <c r="X10" s="169"/>
    </row>
    <row r="11" spans="1:34" s="143" customFormat="1" ht="14.4" customHeight="1" x14ac:dyDescent="0.25">
      <c r="A11" s="153" t="s">
        <v>230</v>
      </c>
      <c r="B11" s="153"/>
      <c r="C11" s="171"/>
      <c r="D11" s="172" t="s">
        <v>129</v>
      </c>
      <c r="E11" s="180"/>
      <c r="G11" s="178" t="s">
        <v>1</v>
      </c>
      <c r="H11" s="179">
        <v>69.073700000000002</v>
      </c>
      <c r="O11" s="152"/>
      <c r="R11" s="169"/>
      <c r="V11" s="142"/>
      <c r="X11" s="169"/>
    </row>
    <row r="12" spans="1:34" s="143" customFormat="1" ht="14.4" thickBot="1" x14ac:dyDescent="0.3">
      <c r="O12" s="152"/>
      <c r="R12" s="169"/>
      <c r="V12" s="142"/>
      <c r="X12" s="169"/>
      <c r="AA12" s="170"/>
      <c r="AB12" s="135"/>
    </row>
    <row r="13" spans="1:34" s="196" customFormat="1" ht="12.75" customHeight="1" thickBot="1" x14ac:dyDescent="0.3">
      <c r="A13" s="181" t="s">
        <v>2</v>
      </c>
      <c r="B13" s="181" t="s">
        <v>3</v>
      </c>
      <c r="C13" s="182" t="s">
        <v>4</v>
      </c>
      <c r="D13" s="182" t="s">
        <v>5</v>
      </c>
      <c r="E13" s="181" t="s">
        <v>6</v>
      </c>
      <c r="F13" s="183" t="s">
        <v>162</v>
      </c>
      <c r="G13" s="184" t="s">
        <v>182</v>
      </c>
      <c r="H13" s="185"/>
      <c r="I13" s="185"/>
      <c r="J13" s="186"/>
      <c r="K13" s="186"/>
      <c r="L13" s="186"/>
      <c r="M13" s="186"/>
      <c r="N13" s="187"/>
      <c r="O13" s="188" t="s">
        <v>213</v>
      </c>
      <c r="P13" s="189"/>
      <c r="Q13" s="189"/>
      <c r="R13" s="189"/>
      <c r="S13" s="189"/>
      <c r="T13" s="190"/>
      <c r="U13" s="189"/>
      <c r="V13" s="189"/>
      <c r="W13" s="189"/>
      <c r="X13" s="189"/>
      <c r="Y13" s="191"/>
      <c r="Z13" s="192" t="s">
        <v>125</v>
      </c>
      <c r="AA13" s="193" t="s">
        <v>7</v>
      </c>
      <c r="AB13" s="193" t="s">
        <v>8</v>
      </c>
      <c r="AC13" s="194" t="s">
        <v>14</v>
      </c>
      <c r="AD13" s="194"/>
      <c r="AE13" s="194" t="s">
        <v>180</v>
      </c>
      <c r="AF13" s="194"/>
      <c r="AG13" s="195" t="s">
        <v>207</v>
      </c>
      <c r="AH13" s="195"/>
    </row>
    <row r="14" spans="1:34" s="212" customFormat="1" ht="13.95" customHeight="1" thickBot="1" x14ac:dyDescent="0.3">
      <c r="A14" s="197"/>
      <c r="B14" s="197"/>
      <c r="C14" s="198"/>
      <c r="D14" s="198"/>
      <c r="E14" s="197"/>
      <c r="F14" s="199"/>
      <c r="G14" s="200" t="str">
        <f>"Цена"&amp;IF(включить_НДС&lt;&gt;INDEX(НДС,3)," "&amp;включить_НДС,"")&amp;", "&amp;валюта_продажи</f>
        <v>Цена с НДС, USD</v>
      </c>
      <c r="H14" s="201" t="str">
        <f>"Сумма"&amp;IF(включить_НДС&lt;&gt;INDEX(НДС,3)," "&amp;включить_НДС,"")&amp;", "&amp;валюта_продажи</f>
        <v>Сумма с НДС, USD</v>
      </c>
      <c r="I14" s="202" t="str">
        <f>"НДС, "&amp;валюта_продажи</f>
        <v>НДС, USD</v>
      </c>
      <c r="J14" s="203" t="s">
        <v>188</v>
      </c>
      <c r="K14" s="204" t="s">
        <v>183</v>
      </c>
      <c r="L14" s="205"/>
      <c r="M14" s="205"/>
      <c r="N14" s="206"/>
      <c r="O14" s="207" t="s">
        <v>197</v>
      </c>
      <c r="P14" s="208"/>
      <c r="Q14" s="208"/>
      <c r="R14" s="209"/>
      <c r="S14" s="210"/>
      <c r="T14" s="211" t="s">
        <v>196</v>
      </c>
      <c r="U14" s="207" t="s">
        <v>198</v>
      </c>
      <c r="V14" s="208"/>
      <c r="W14" s="208"/>
      <c r="X14" s="209"/>
      <c r="Y14" s="210"/>
      <c r="Z14" s="192"/>
      <c r="AA14" s="193"/>
      <c r="AB14" s="193"/>
      <c r="AC14" s="194"/>
      <c r="AD14" s="194"/>
      <c r="AE14" s="194"/>
      <c r="AF14" s="194"/>
      <c r="AG14" s="195"/>
      <c r="AH14" s="195"/>
    </row>
    <row r="15" spans="1:34" s="212" customFormat="1" ht="27.6" customHeight="1" thickBot="1" x14ac:dyDescent="0.3">
      <c r="A15" s="213"/>
      <c r="B15" s="213"/>
      <c r="C15" s="214"/>
      <c r="D15" s="214"/>
      <c r="E15" s="213"/>
      <c r="F15" s="215"/>
      <c r="G15" s="216"/>
      <c r="H15" s="217"/>
      <c r="I15" s="218"/>
      <c r="J15" s="219"/>
      <c r="K15" s="220" t="s">
        <v>156</v>
      </c>
      <c r="L15" s="220" t="s">
        <v>157</v>
      </c>
      <c r="M15" s="221" t="s">
        <v>158</v>
      </c>
      <c r="N15" s="222" t="str">
        <f>"Маржа "&amp;включить_НДС&amp;", "&amp;валюта_продажи</f>
        <v>Маржа с НДС, USD</v>
      </c>
      <c r="O15" s="223" t="s">
        <v>22</v>
      </c>
      <c r="P15" s="224" t="s">
        <v>206</v>
      </c>
      <c r="Q15" s="225" t="s">
        <v>205</v>
      </c>
      <c r="R15" s="226" t="s">
        <v>214</v>
      </c>
      <c r="S15" s="227" t="str">
        <f>"Сумма GPL "&amp;включить_НДС&amp;", "&amp;валюта_продажи</f>
        <v>Сумма GPL с НДС, USD</v>
      </c>
      <c r="T15" s="211"/>
      <c r="U15" s="223" t="s">
        <v>199</v>
      </c>
      <c r="V15" s="224" t="s">
        <v>203</v>
      </c>
      <c r="W15" s="225" t="s">
        <v>202</v>
      </c>
      <c r="X15" s="226" t="s">
        <v>134</v>
      </c>
      <c r="Y15" s="227" t="str">
        <f>"Сумма закупки "&amp;включить_НДС&amp;", "&amp;валюта_продажи</f>
        <v>Сумма закупки с НДС, USD</v>
      </c>
      <c r="Z15" s="192"/>
      <c r="AA15" s="193"/>
      <c r="AB15" s="193"/>
      <c r="AC15" s="228" t="s">
        <v>15</v>
      </c>
      <c r="AD15" s="228" t="s">
        <v>16</v>
      </c>
      <c r="AE15" s="228" t="s">
        <v>15</v>
      </c>
      <c r="AF15" s="228" t="s">
        <v>16</v>
      </c>
      <c r="AG15" s="229" t="s">
        <v>208</v>
      </c>
      <c r="AH15" s="230" t="str">
        <f>"НДС закупки, "&amp;валюта_продажи</f>
        <v>НДС закупки, USD</v>
      </c>
    </row>
    <row r="16" spans="1:34" s="244" customFormat="1" ht="10.95" customHeight="1" x14ac:dyDescent="0.3">
      <c r="A16" s="231" t="s">
        <v>39</v>
      </c>
      <c r="B16" s="232" t="s">
        <v>38</v>
      </c>
      <c r="C16" s="232" t="s">
        <v>37</v>
      </c>
      <c r="D16" s="232" t="s">
        <v>42</v>
      </c>
      <c r="E16" s="232" t="s">
        <v>40</v>
      </c>
      <c r="F16" s="233" t="s">
        <v>41</v>
      </c>
      <c r="G16" s="234" t="s">
        <v>184</v>
      </c>
      <c r="H16" s="232" t="s">
        <v>185</v>
      </c>
      <c r="I16" s="235" t="s">
        <v>186</v>
      </c>
      <c r="J16" s="231" t="s">
        <v>187</v>
      </c>
      <c r="K16" s="232" t="s">
        <v>189</v>
      </c>
      <c r="L16" s="232" t="s">
        <v>190</v>
      </c>
      <c r="M16" s="236" t="s">
        <v>191</v>
      </c>
      <c r="N16" s="237" t="s">
        <v>192</v>
      </c>
      <c r="O16" s="238" t="s">
        <v>193</v>
      </c>
      <c r="P16" s="239" t="s">
        <v>194</v>
      </c>
      <c r="Q16" s="240" t="s">
        <v>195</v>
      </c>
      <c r="R16" s="241" t="s">
        <v>215</v>
      </c>
      <c r="S16" s="242" t="s">
        <v>216</v>
      </c>
      <c r="T16" s="241" t="s">
        <v>217</v>
      </c>
      <c r="U16" s="238" t="s">
        <v>218</v>
      </c>
      <c r="V16" s="239" t="s">
        <v>219</v>
      </c>
      <c r="W16" s="240" t="s">
        <v>222</v>
      </c>
      <c r="X16" s="241" t="s">
        <v>228</v>
      </c>
      <c r="Y16" s="242" t="s">
        <v>223</v>
      </c>
      <c r="Z16" s="231" t="s">
        <v>224</v>
      </c>
      <c r="AA16" s="232" t="s">
        <v>225</v>
      </c>
      <c r="AB16" s="232" t="s">
        <v>226</v>
      </c>
      <c r="AC16" s="232" t="s">
        <v>227</v>
      </c>
      <c r="AD16" s="232" t="s">
        <v>204</v>
      </c>
      <c r="AE16" s="232" t="s">
        <v>220</v>
      </c>
      <c r="AF16" s="236" t="s">
        <v>221</v>
      </c>
      <c r="AG16" s="243" t="s">
        <v>229</v>
      </c>
      <c r="AH16" s="243" t="s">
        <v>234</v>
      </c>
    </row>
    <row r="17" spans="1:34" x14ac:dyDescent="0.25">
      <c r="A17" s="245"/>
      <c r="B17" s="246"/>
      <c r="C17" s="247"/>
      <c r="D17" s="248"/>
      <c r="E17" s="249"/>
      <c r="F17" s="250"/>
      <c r="G17" s="251" t="e">
        <f>ROUND(IF(INDEX(источник,1)=Расчёт[[#This Row],[12
Источник для расчёта прибыли]],Расчёт[[#This Row],[16
Цена GPL]]*IFERROR(INDEX(расчёт_курса,MATCH(валюта_продажи,валюта,0),MATCH(Расчёт[[#This Row],[15
Валюта GPL]],валюта,0)),0)*IFERROR(INDEX(расчёт_НДС,MATCH(Расчёт[[#This Row],[10
Способ НДС]],НДС,0),MATCH(Расчёт[[#This Row],[18
НДС GPL]],НДС,0)),0),IF(INDEX(источник,2)=Расчёт[[#This Row],[12
Источник для расчёта прибыли]],Расчёт[[#This Row],[22
Цена закупки]]*IFERROR(INDEX(расчёт_курса,MATCH(валюта_продажи,валюта,0),MATCH(Расчёт[[#This Row],[21
Валюта закупки]],валюта,0)),0)*IFERROR(INDEX(расчёт_НДС,MATCH(Расчёт[[#This Row],[10
Способ НДС]],НДС,0),MATCH(Расчёт[[#This Row],[24
НДС закупки]],НДС,0)),0),0))*IF(INDEX(прибыль,1)=Расчёт[[#This Row],[11
Способ расчёта  прибыли]],(1+Расчёт[[#This Row],[13
Процент прибыли]]),IF(INDEX(прибыль,2)=Расчёт[[#This Row],[11
Способ расчёта  прибыли]],1/(1-Расчёт[[#This Row],[13
Процент прибыли]]),0))+IF(включить_транспортные_расходы="да",IFERROR(стоимость_доставки/Расчёт[[#This Row],[5
Кол-во]],0)*INDEX(расчёт_курса,MATCH(валюта_продажи,валюта,0),2)*IF(MATCH(включить_НДС,НДС,0)=2,(Расчёт[[#This Row],[25
Сумма закупки в валюте продажи]]+Расчёт[[#This Row],[34
НДС закупки]])/(себестоимость+размер_НДС_закупки)/IF(MATCH(Расчёт[[#This Row],[10
Способ НДС]],НДС,0)=3,1,1.18),Расчёт[[#This Row],[25
Сумма закупки в валюте продажи]]/себестоимость),0),2)</f>
        <v>#DIV/0!</v>
      </c>
      <c r="H17" s="251">
        <f>IF(OR(Расчёт[[#This Row],[33
Тип индекса]]="subtitle",Расчёт[[#This Row],[1
№]]=""),0,E17*G17)</f>
        <v>0</v>
      </c>
      <c r="I17" s="252">
        <f>ROUND(H17*IF(Расчёт[[#This Row],[10
Способ НДС]]=INDEX(НДС,1),1/1.18*0.18,IF(Расчёт[[#This Row],[10
Способ НДС]]=INDEX(НДС,2),0.18,0)),2)</f>
        <v>0</v>
      </c>
      <c r="J17" s="253"/>
      <c r="K17" s="254"/>
      <c r="L17" s="254"/>
      <c r="M17" s="255"/>
      <c r="N17" s="256" t="e">
        <f>ROUND(Расчёт[[#This Row],[8
Сумма продажи]]-Расчёт[[#This Row],[25
Сумма закупки в валюте продажи]]-IF(включить_транспортные_расходы="да",стоимость_доставки*INDEX(расчёт_курса,MATCH(валюта_продажи,валюта,0),2)*IF(MATCH(включить_НДС,НДС,0)=2,(Расчёт[[#This Row],[25
Сумма закупки в валюте продажи]]+Расчёт[[#This Row],[34
НДС закупки]])/(себестоимость+размер_НДС_закупки)/IF(MATCH(Расчёт[[#This Row],[10
Способ НДС]],НДС,0)=3,1,1.18),Расчёт[[#This Row],[25
Сумма закупки в валюте продажи]]/себестоимость),0),2)</f>
        <v>#DIV/0!</v>
      </c>
      <c r="O17" s="257"/>
      <c r="P17" s="258">
        <v>0</v>
      </c>
      <c r="Q17" s="259">
        <f>IF(OR(Расчёт[[#This Row],[33
Тип индекса]]="subtitle",Расчёт[[#This Row],[1
№]]=""),0,Расчёт[[#This Row],[5
Кол-во]]*Расчёт[[#This Row],[16
Цена GPL]])</f>
        <v>0</v>
      </c>
      <c r="R17" s="257"/>
      <c r="S17" s="260">
        <f>Расчёт[[#This Row],[17
Сумма GPL]]*IFERROR(INDEX(расчёт_курса,MATCH(валюта_продажи,валюта,0),MATCH(Расчёт[[#This Row],[15
Валюта GPL]],валюта,0)),0)*IFERROR(INDEX(расчёт_НДС,MATCH(Расчёт[[#This Row],[10
Способ НДС]],НДС,0),MATCH(Расчёт[[#This Row],[18
НДС GPL]],НДС,0)),0)</f>
        <v>0</v>
      </c>
      <c r="T17" s="261" t="str">
        <f>IFERROR(1-Расчёт[[#This Row],[25
Сумма закупки в валюте продажи]]/Расчёт[[#This Row],[19
Сумма GPL в валюте продажи]],"")</f>
        <v/>
      </c>
      <c r="U17" s="262"/>
      <c r="V17" s="263">
        <v>0</v>
      </c>
      <c r="W17" s="264">
        <f>IF(OR(Расчёт[[#This Row],[33
Тип индекса]]="subtitle",Расчёт[[#This Row],[1
№]]=""),0,Расчёт[[#This Row],[5
Кол-во]]*Расчёт[[#This Row],[22
Цена закупки]])</f>
        <v>0</v>
      </c>
      <c r="X17" s="265"/>
      <c r="Y17" s="260">
        <f>Расчёт[[#This Row],[23
Сумма закупки]]*IFERROR(INDEX(расчёт_курса,MATCH(валюта_продажи,валюта,0),MATCH(Расчёт[[#This Row],[21
Валюта закупки]],валюта,0)),0)*IFERROR(INDEX(расчёт_НДС,MATCH(Расчёт[[#This Row],[10
Способ НДС]],НДС,0),MATCH(Расчёт[[#This Row],[24
НДС закупки]],НДС,0)),0)</f>
        <v>0</v>
      </c>
      <c r="Z17" s="266"/>
      <c r="AA17" s="267"/>
      <c r="AB17" s="268"/>
      <c r="AC17" s="269"/>
      <c r="AD17" s="270">
        <f>Расчёт[[#This Row],[5
Кол-во]]*Расчёт[[#This Row],[29
Вес]]</f>
        <v>0</v>
      </c>
      <c r="AE17" s="269"/>
      <c r="AF17" s="271">
        <f>Расчёт[[#This Row],[5
Кол-во]]*Расчёт[[#This Row],[31
Объём]]</f>
        <v>0</v>
      </c>
      <c r="AG17" s="272"/>
      <c r="AH17" s="272">
        <f>ROUND(Расчёт[[#This Row],[25
Сумма закупки в валюте продажи]]*IF(Расчёт[[#This Row],[10
Способ НДС]]=INDEX(НДС,1),1/1.18*0.18,IF(Расчёт[[#This Row],[10
Способ НДС]]=INDEX(НДС,2),0.18,0)),2)</f>
        <v>0</v>
      </c>
    </row>
    <row r="18" spans="1:34" x14ac:dyDescent="0.25">
      <c r="A18" s="245"/>
      <c r="B18" s="246"/>
      <c r="C18" s="247"/>
      <c r="D18" s="248"/>
      <c r="E18" s="249"/>
      <c r="F18" s="250"/>
      <c r="G18" s="251" t="e">
        <f>ROUND(IF(INDEX(источник,1)=Расчёт[[#This Row],[12
Источник для расчёта прибыли]],Расчёт[[#This Row],[16
Цена GPL]]*IFERROR(INDEX(расчёт_курса,MATCH(валюта_продажи,валюта,0),MATCH(Расчёт[[#This Row],[15
Валюта GPL]],валюта,0)),0)*IFERROR(INDEX(расчёт_НДС,MATCH(Расчёт[[#This Row],[10
Способ НДС]],НДС,0),MATCH(Расчёт[[#This Row],[18
НДС GPL]],НДС,0)),0),IF(INDEX(источник,2)=Расчёт[[#This Row],[12
Источник для расчёта прибыли]],Расчёт[[#This Row],[22
Цена закупки]]*IFERROR(INDEX(расчёт_курса,MATCH(валюта_продажи,валюта,0),MATCH(Расчёт[[#This Row],[21
Валюта закупки]],валюта,0)),0)*IFERROR(INDEX(расчёт_НДС,MATCH(Расчёт[[#This Row],[10
Способ НДС]],НДС,0),MATCH(Расчёт[[#This Row],[24
НДС закупки]],НДС,0)),0),0))*IF(INDEX(прибыль,1)=Расчёт[[#This Row],[11
Способ расчёта  прибыли]],(1+Расчёт[[#This Row],[13
Процент прибыли]]),IF(INDEX(прибыль,2)=Расчёт[[#This Row],[11
Способ расчёта  прибыли]],1/(1-Расчёт[[#This Row],[13
Процент прибыли]]),0))+IF(включить_транспортные_расходы="да",IFERROR(стоимость_доставки/Расчёт[[#This Row],[5
Кол-во]],0)*INDEX(расчёт_курса,MATCH(валюта_продажи,валюта,0),2)*IF(MATCH(включить_НДС,НДС,0)=2,(Расчёт[[#This Row],[25
Сумма закупки в валюте продажи]]+Расчёт[[#This Row],[34
НДС закупки]])/(себестоимость+размер_НДС_закупки)/IF(MATCH(Расчёт[[#This Row],[10
Способ НДС]],НДС,0)=3,1,1.18),Расчёт[[#This Row],[25
Сумма закупки в валюте продажи]]/себестоимость),0),2)</f>
        <v>#DIV/0!</v>
      </c>
      <c r="H18" s="251">
        <f>IF(OR(Расчёт[[#This Row],[33
Тип индекса]]="subtitle",Расчёт[[#This Row],[1
№]]=""),0,E18*G18)</f>
        <v>0</v>
      </c>
      <c r="I18" s="252">
        <f>ROUND(H18*IF(Расчёт[[#This Row],[10
Способ НДС]]=INDEX(НДС,1),1/1.18*0.18,IF(Расчёт[[#This Row],[10
Способ НДС]]=INDEX(НДС,2),0.18,0)),2)</f>
        <v>0</v>
      </c>
      <c r="J18" s="253"/>
      <c r="K18" s="254"/>
      <c r="L18" s="254"/>
      <c r="M18" s="255"/>
      <c r="N18" s="256" t="e">
        <f>ROUND(Расчёт[[#This Row],[8
Сумма продажи]]-Расчёт[[#This Row],[25
Сумма закупки в валюте продажи]]-IF(включить_транспортные_расходы="да",стоимость_доставки*INDEX(расчёт_курса,MATCH(валюта_продажи,валюта,0),2)*IF(MATCH(включить_НДС,НДС,0)=2,(Расчёт[[#This Row],[25
Сумма закупки в валюте продажи]]+Расчёт[[#This Row],[34
НДС закупки]])/(себестоимость+размер_НДС_закупки)/IF(MATCH(Расчёт[[#This Row],[10
Способ НДС]],НДС,0)=3,1,1.18),Расчёт[[#This Row],[25
Сумма закупки в валюте продажи]]/себестоимость),0),2)</f>
        <v>#DIV/0!</v>
      </c>
      <c r="O18" s="257"/>
      <c r="P18" s="258">
        <v>0</v>
      </c>
      <c r="Q18" s="259">
        <f>IF(OR(Расчёт[[#This Row],[33
Тип индекса]]="subtitle",Расчёт[[#This Row],[1
№]]=""),0,Расчёт[[#This Row],[5
Кол-во]]*Расчёт[[#This Row],[16
Цена GPL]])</f>
        <v>0</v>
      </c>
      <c r="R18" s="257"/>
      <c r="S18" s="260">
        <f>Расчёт[[#This Row],[17
Сумма GPL]]*IFERROR(INDEX(расчёт_курса,MATCH(валюта_продажи,валюта,0),MATCH(Расчёт[[#This Row],[15
Валюта GPL]],валюта,0)),0)*IFERROR(INDEX(расчёт_НДС,MATCH(Расчёт[[#This Row],[10
Способ НДС]],НДС,0),MATCH(Расчёт[[#This Row],[18
НДС GPL]],НДС,0)),0)</f>
        <v>0</v>
      </c>
      <c r="T18" s="261" t="str">
        <f>IFERROR(1-Расчёт[[#This Row],[25
Сумма закупки в валюте продажи]]/Расчёт[[#This Row],[19
Сумма GPL в валюте продажи]],"")</f>
        <v/>
      </c>
      <c r="U18" s="262"/>
      <c r="V18" s="263">
        <v>0</v>
      </c>
      <c r="W18" s="264">
        <f>IF(OR(Расчёт[[#This Row],[33
Тип индекса]]="subtitle",Расчёт[[#This Row],[1
№]]=""),0,Расчёт[[#This Row],[5
Кол-во]]*Расчёт[[#This Row],[22
Цена закупки]])</f>
        <v>0</v>
      </c>
      <c r="X18" s="265"/>
      <c r="Y18" s="260">
        <f>Расчёт[[#This Row],[23
Сумма закупки]]*IFERROR(INDEX(расчёт_курса,MATCH(валюта_продажи,валюта,0),MATCH(Расчёт[[#This Row],[21
Валюта закупки]],валюта,0)),0)*IFERROR(INDEX(расчёт_НДС,MATCH(Расчёт[[#This Row],[10
Способ НДС]],НДС,0),MATCH(Расчёт[[#This Row],[24
НДС закупки]],НДС,0)),0)</f>
        <v>0</v>
      </c>
      <c r="Z18" s="266"/>
      <c r="AA18" s="267"/>
      <c r="AB18" s="268"/>
      <c r="AC18" s="269"/>
      <c r="AD18" s="270">
        <f>Расчёт[[#This Row],[5
Кол-во]]*Расчёт[[#This Row],[29
Вес]]</f>
        <v>0</v>
      </c>
      <c r="AE18" s="269"/>
      <c r="AF18" s="271">
        <f>Расчёт[[#This Row],[5
Кол-во]]*Расчёт[[#This Row],[31
Объём]]</f>
        <v>0</v>
      </c>
      <c r="AG18" s="272"/>
      <c r="AH18" s="272">
        <f>ROUND(Расчёт[[#This Row],[25
Сумма закупки в валюте продажи]]*IF(Расчёт[[#This Row],[10
Способ НДС]]=INDEX(НДС,1),1/1.18*0.18,IF(Расчёт[[#This Row],[10
Способ НДС]]=INDEX(НДС,2),0.18,0)),2)</f>
        <v>0</v>
      </c>
    </row>
    <row r="19" spans="1:34" x14ac:dyDescent="0.25">
      <c r="A19" s="245"/>
      <c r="B19" s="246"/>
      <c r="C19" s="247"/>
      <c r="D19" s="248"/>
      <c r="E19" s="249"/>
      <c r="F19" s="250"/>
      <c r="G19" s="251" t="e">
        <f>ROUND(IF(INDEX(источник,1)=Расчёт[[#This Row],[12
Источник для расчёта прибыли]],Расчёт[[#This Row],[16
Цена GPL]]*IFERROR(INDEX(расчёт_курса,MATCH(валюта_продажи,валюта,0),MATCH(Расчёт[[#This Row],[15
Валюта GPL]],валюта,0)),0)*IFERROR(INDEX(расчёт_НДС,MATCH(Расчёт[[#This Row],[10
Способ НДС]],НДС,0),MATCH(Расчёт[[#This Row],[18
НДС GPL]],НДС,0)),0),IF(INDEX(источник,2)=Расчёт[[#This Row],[12
Источник для расчёта прибыли]],Расчёт[[#This Row],[22
Цена закупки]]*IFERROR(INDEX(расчёт_курса,MATCH(валюта_продажи,валюта,0),MATCH(Расчёт[[#This Row],[21
Валюта закупки]],валюта,0)),0)*IFERROR(INDEX(расчёт_НДС,MATCH(Расчёт[[#This Row],[10
Способ НДС]],НДС,0),MATCH(Расчёт[[#This Row],[24
НДС закупки]],НДС,0)),0),0))*IF(INDEX(прибыль,1)=Расчёт[[#This Row],[11
Способ расчёта  прибыли]],(1+Расчёт[[#This Row],[13
Процент прибыли]]),IF(INDEX(прибыль,2)=Расчёт[[#This Row],[11
Способ расчёта  прибыли]],1/(1-Расчёт[[#This Row],[13
Процент прибыли]]),0))+IF(включить_транспортные_расходы="да",IFERROR(стоимость_доставки/Расчёт[[#This Row],[5
Кол-во]],0)*INDEX(расчёт_курса,MATCH(валюта_продажи,валюта,0),2)*IF(MATCH(включить_НДС,НДС,0)=2,(Расчёт[[#This Row],[25
Сумма закупки в валюте продажи]]+Расчёт[[#This Row],[34
НДС закупки]])/(себестоимость+размер_НДС_закупки)/IF(MATCH(Расчёт[[#This Row],[10
Способ НДС]],НДС,0)=3,1,1.18),Расчёт[[#This Row],[25
Сумма закупки в валюте продажи]]/себестоимость),0),2)</f>
        <v>#DIV/0!</v>
      </c>
      <c r="H19" s="251">
        <f>IF(OR(Расчёт[[#This Row],[33
Тип индекса]]="subtitle",Расчёт[[#This Row],[1
№]]=""),0,E19*G19)</f>
        <v>0</v>
      </c>
      <c r="I19" s="252">
        <f>ROUND(H19*IF(Расчёт[[#This Row],[10
Способ НДС]]=INDEX(НДС,1),1/1.18*0.18,IF(Расчёт[[#This Row],[10
Способ НДС]]=INDEX(НДС,2),0.18,0)),2)</f>
        <v>0</v>
      </c>
      <c r="J19" s="253"/>
      <c r="K19" s="254"/>
      <c r="L19" s="254"/>
      <c r="M19" s="255"/>
      <c r="N19" s="256" t="e">
        <f>ROUND(Расчёт[[#This Row],[8
Сумма продажи]]-Расчёт[[#This Row],[25
Сумма закупки в валюте продажи]]-IF(включить_транспортные_расходы="да",стоимость_доставки*INDEX(расчёт_курса,MATCH(валюта_продажи,валюта,0),2)*IF(MATCH(включить_НДС,НДС,0)=2,(Расчёт[[#This Row],[25
Сумма закупки в валюте продажи]]+Расчёт[[#This Row],[34
НДС закупки]])/(себестоимость+размер_НДС_закупки)/IF(MATCH(Расчёт[[#This Row],[10
Способ НДС]],НДС,0)=3,1,1.18),Расчёт[[#This Row],[25
Сумма закупки в валюте продажи]]/себестоимость),0),2)</f>
        <v>#DIV/0!</v>
      </c>
      <c r="O19" s="257"/>
      <c r="P19" s="258">
        <v>0</v>
      </c>
      <c r="Q19" s="259">
        <f>IF(OR(Расчёт[[#This Row],[33
Тип индекса]]="subtitle",Расчёт[[#This Row],[1
№]]=""),0,Расчёт[[#This Row],[5
Кол-во]]*Расчёт[[#This Row],[16
Цена GPL]])</f>
        <v>0</v>
      </c>
      <c r="R19" s="257"/>
      <c r="S19" s="260">
        <f>Расчёт[[#This Row],[17
Сумма GPL]]*IFERROR(INDEX(расчёт_курса,MATCH(валюта_продажи,валюта,0),MATCH(Расчёт[[#This Row],[15
Валюта GPL]],валюта,0)),0)*IFERROR(INDEX(расчёт_НДС,MATCH(Расчёт[[#This Row],[10
Способ НДС]],НДС,0),MATCH(Расчёт[[#This Row],[18
НДС GPL]],НДС,0)),0)</f>
        <v>0</v>
      </c>
      <c r="T19" s="261" t="str">
        <f>IFERROR(1-Расчёт[[#This Row],[25
Сумма закупки в валюте продажи]]/Расчёт[[#This Row],[19
Сумма GPL в валюте продажи]],"")</f>
        <v/>
      </c>
      <c r="U19" s="262"/>
      <c r="V19" s="263">
        <v>0</v>
      </c>
      <c r="W19" s="264">
        <f>IF(OR(Расчёт[[#This Row],[33
Тип индекса]]="subtitle",Расчёт[[#This Row],[1
№]]=""),0,Расчёт[[#This Row],[5
Кол-во]]*Расчёт[[#This Row],[22
Цена закупки]])</f>
        <v>0</v>
      </c>
      <c r="X19" s="265"/>
      <c r="Y19" s="260">
        <f>Расчёт[[#This Row],[23
Сумма закупки]]*IFERROR(INDEX(расчёт_курса,MATCH(валюта_продажи,валюта,0),MATCH(Расчёт[[#This Row],[21
Валюта закупки]],валюта,0)),0)*IFERROR(INDEX(расчёт_НДС,MATCH(Расчёт[[#This Row],[10
Способ НДС]],НДС,0),MATCH(Расчёт[[#This Row],[24
НДС закупки]],НДС,0)),0)</f>
        <v>0</v>
      </c>
      <c r="Z19" s="266"/>
      <c r="AA19" s="267"/>
      <c r="AB19" s="268"/>
      <c r="AC19" s="269"/>
      <c r="AD19" s="270">
        <f>Расчёт[[#This Row],[5
Кол-во]]*Расчёт[[#This Row],[29
Вес]]</f>
        <v>0</v>
      </c>
      <c r="AE19" s="269"/>
      <c r="AF19" s="271">
        <f>Расчёт[[#This Row],[5
Кол-во]]*Расчёт[[#This Row],[31
Объём]]</f>
        <v>0</v>
      </c>
      <c r="AG19" s="272"/>
      <c r="AH19" s="272">
        <f>ROUND(Расчёт[[#This Row],[25
Сумма закупки в валюте продажи]]*IF(Расчёт[[#This Row],[10
Способ НДС]]=INDEX(НДС,1),1/1.18*0.18,IF(Расчёт[[#This Row],[10
Способ НДС]]=INDEX(НДС,2),0.18,0)),2)</f>
        <v>0</v>
      </c>
    </row>
    <row r="20" spans="1:34" x14ac:dyDescent="0.25">
      <c r="A20" s="245"/>
      <c r="B20" s="246"/>
      <c r="C20" s="247"/>
      <c r="D20" s="248"/>
      <c r="E20" s="249"/>
      <c r="F20" s="250"/>
      <c r="G20" s="251" t="e">
        <f>ROUND(IF(INDEX(источник,1)=Расчёт[[#This Row],[12
Источник для расчёта прибыли]],Расчёт[[#This Row],[16
Цена GPL]]*IFERROR(INDEX(расчёт_курса,MATCH(валюта_продажи,валюта,0),MATCH(Расчёт[[#This Row],[15
Валюта GPL]],валюта,0)),0)*IFERROR(INDEX(расчёт_НДС,MATCH(Расчёт[[#This Row],[10
Способ НДС]],НДС,0),MATCH(Расчёт[[#This Row],[18
НДС GPL]],НДС,0)),0),IF(INDEX(источник,2)=Расчёт[[#This Row],[12
Источник для расчёта прибыли]],Расчёт[[#This Row],[22
Цена закупки]]*IFERROR(INDEX(расчёт_курса,MATCH(валюта_продажи,валюта,0),MATCH(Расчёт[[#This Row],[21
Валюта закупки]],валюта,0)),0)*IFERROR(INDEX(расчёт_НДС,MATCH(Расчёт[[#This Row],[10
Способ НДС]],НДС,0),MATCH(Расчёт[[#This Row],[24
НДС закупки]],НДС,0)),0),0))*IF(INDEX(прибыль,1)=Расчёт[[#This Row],[11
Способ расчёта  прибыли]],(1+Расчёт[[#This Row],[13
Процент прибыли]]),IF(INDEX(прибыль,2)=Расчёт[[#This Row],[11
Способ расчёта  прибыли]],1/(1-Расчёт[[#This Row],[13
Процент прибыли]]),0))+IF(включить_транспортные_расходы="да",IFERROR(стоимость_доставки/Расчёт[[#This Row],[5
Кол-во]],0)*INDEX(расчёт_курса,MATCH(валюта_продажи,валюта,0),2)*IF(MATCH(включить_НДС,НДС,0)=2,(Расчёт[[#This Row],[25
Сумма закупки в валюте продажи]]+Расчёт[[#This Row],[34
НДС закупки]])/(себестоимость+размер_НДС_закупки)/IF(MATCH(Расчёт[[#This Row],[10
Способ НДС]],НДС,0)=3,1,1.18),Расчёт[[#This Row],[25
Сумма закупки в валюте продажи]]/себестоимость),0),2)</f>
        <v>#DIV/0!</v>
      </c>
      <c r="H20" s="251">
        <f>IF(OR(Расчёт[[#This Row],[33
Тип индекса]]="subtitle",Расчёт[[#This Row],[1
№]]=""),0,E20*G20)</f>
        <v>0</v>
      </c>
      <c r="I20" s="252">
        <f>ROUND(H20*IF(Расчёт[[#This Row],[10
Способ НДС]]=INDEX(НДС,1),1/1.18*0.18,IF(Расчёт[[#This Row],[10
Способ НДС]]=INDEX(НДС,2),0.18,0)),2)</f>
        <v>0</v>
      </c>
      <c r="J20" s="253"/>
      <c r="K20" s="254"/>
      <c r="L20" s="254"/>
      <c r="M20" s="255"/>
      <c r="N20" s="256" t="e">
        <f>ROUND(Расчёт[[#This Row],[8
Сумма продажи]]-Расчёт[[#This Row],[25
Сумма закупки в валюте продажи]]-IF(включить_транспортные_расходы="да",стоимость_доставки*INDEX(расчёт_курса,MATCH(валюта_продажи,валюта,0),2)*IF(MATCH(включить_НДС,НДС,0)=2,(Расчёт[[#This Row],[25
Сумма закупки в валюте продажи]]+Расчёт[[#This Row],[34
НДС закупки]])/(себестоимость+размер_НДС_закупки)/IF(MATCH(Расчёт[[#This Row],[10
Способ НДС]],НДС,0)=3,1,1.18),Расчёт[[#This Row],[25
Сумма закупки в валюте продажи]]/себестоимость),0),2)</f>
        <v>#DIV/0!</v>
      </c>
      <c r="O20" s="257"/>
      <c r="P20" s="258">
        <v>0</v>
      </c>
      <c r="Q20" s="259">
        <f>IF(OR(Расчёт[[#This Row],[33
Тип индекса]]="subtitle",Расчёт[[#This Row],[1
№]]=""),0,Расчёт[[#This Row],[5
Кол-во]]*Расчёт[[#This Row],[16
Цена GPL]])</f>
        <v>0</v>
      </c>
      <c r="R20" s="257"/>
      <c r="S20" s="260">
        <f>Расчёт[[#This Row],[17
Сумма GPL]]*IFERROR(INDEX(расчёт_курса,MATCH(валюта_продажи,валюта,0),MATCH(Расчёт[[#This Row],[15
Валюта GPL]],валюта,0)),0)*IFERROR(INDEX(расчёт_НДС,MATCH(Расчёт[[#This Row],[10
Способ НДС]],НДС,0),MATCH(Расчёт[[#This Row],[18
НДС GPL]],НДС,0)),0)</f>
        <v>0</v>
      </c>
      <c r="T20" s="261" t="str">
        <f>IFERROR(1-Расчёт[[#This Row],[25
Сумма закупки в валюте продажи]]/Расчёт[[#This Row],[19
Сумма GPL в валюте продажи]],"")</f>
        <v/>
      </c>
      <c r="U20" s="262"/>
      <c r="V20" s="263">
        <v>0</v>
      </c>
      <c r="W20" s="264">
        <f>IF(OR(Расчёт[[#This Row],[33
Тип индекса]]="subtitle",Расчёт[[#This Row],[1
№]]=""),0,Расчёт[[#This Row],[5
Кол-во]]*Расчёт[[#This Row],[22
Цена закупки]])</f>
        <v>0</v>
      </c>
      <c r="X20" s="265"/>
      <c r="Y20" s="260">
        <f>Расчёт[[#This Row],[23
Сумма закупки]]*IFERROR(INDEX(расчёт_курса,MATCH(валюта_продажи,валюта,0),MATCH(Расчёт[[#This Row],[21
Валюта закупки]],валюта,0)),0)*IFERROR(INDEX(расчёт_НДС,MATCH(Расчёт[[#This Row],[10
Способ НДС]],НДС,0),MATCH(Расчёт[[#This Row],[24
НДС закупки]],НДС,0)),0)</f>
        <v>0</v>
      </c>
      <c r="Z20" s="266"/>
      <c r="AA20" s="267"/>
      <c r="AB20" s="268"/>
      <c r="AC20" s="269"/>
      <c r="AD20" s="270">
        <f>Расчёт[[#This Row],[5
Кол-во]]*Расчёт[[#This Row],[29
Вес]]</f>
        <v>0</v>
      </c>
      <c r="AE20" s="269"/>
      <c r="AF20" s="271">
        <f>Расчёт[[#This Row],[5
Кол-во]]*Расчёт[[#This Row],[31
Объём]]</f>
        <v>0</v>
      </c>
      <c r="AG20" s="272"/>
      <c r="AH20" s="272">
        <f>ROUND(Расчёт[[#This Row],[25
Сумма закупки в валюте продажи]]*IF(Расчёт[[#This Row],[10
Способ НДС]]=INDEX(НДС,1),1/1.18*0.18,IF(Расчёт[[#This Row],[10
Способ НДС]]=INDEX(НДС,2),0.18,0)),2)</f>
        <v>0</v>
      </c>
    </row>
    <row r="21" spans="1:34" x14ac:dyDescent="0.25">
      <c r="A21" s="245"/>
      <c r="B21" s="246"/>
      <c r="C21" s="247"/>
      <c r="D21" s="248"/>
      <c r="E21" s="249"/>
      <c r="F21" s="250"/>
      <c r="G21" s="251" t="e">
        <f>ROUND(IF(INDEX(источник,1)=Расчёт[[#This Row],[12
Источник для расчёта прибыли]],Расчёт[[#This Row],[16
Цена GPL]]*IFERROR(INDEX(расчёт_курса,MATCH(валюта_продажи,валюта,0),MATCH(Расчёт[[#This Row],[15
Валюта GPL]],валюта,0)),0)*IFERROR(INDEX(расчёт_НДС,MATCH(Расчёт[[#This Row],[10
Способ НДС]],НДС,0),MATCH(Расчёт[[#This Row],[18
НДС GPL]],НДС,0)),0),IF(INDEX(источник,2)=Расчёт[[#This Row],[12
Источник для расчёта прибыли]],Расчёт[[#This Row],[22
Цена закупки]]*IFERROR(INDEX(расчёт_курса,MATCH(валюта_продажи,валюта,0),MATCH(Расчёт[[#This Row],[21
Валюта закупки]],валюта,0)),0)*IFERROR(INDEX(расчёт_НДС,MATCH(Расчёт[[#This Row],[10
Способ НДС]],НДС,0),MATCH(Расчёт[[#This Row],[24
НДС закупки]],НДС,0)),0),0))*IF(INDEX(прибыль,1)=Расчёт[[#This Row],[11
Способ расчёта  прибыли]],(1+Расчёт[[#This Row],[13
Процент прибыли]]),IF(INDEX(прибыль,2)=Расчёт[[#This Row],[11
Способ расчёта  прибыли]],1/(1-Расчёт[[#This Row],[13
Процент прибыли]]),0))+IF(включить_транспортные_расходы="да",IFERROR(стоимость_доставки/Расчёт[[#This Row],[5
Кол-во]],0)*INDEX(расчёт_курса,MATCH(валюта_продажи,валюта,0),2)*IF(MATCH(включить_НДС,НДС,0)=2,(Расчёт[[#This Row],[25
Сумма закупки в валюте продажи]]+Расчёт[[#This Row],[34
НДС закупки]])/(себестоимость+размер_НДС_закупки)/IF(MATCH(Расчёт[[#This Row],[10
Способ НДС]],НДС,0)=3,1,1.18),Расчёт[[#This Row],[25
Сумма закупки в валюте продажи]]/себестоимость),0),2)</f>
        <v>#DIV/0!</v>
      </c>
      <c r="H21" s="251">
        <f>IF(OR(Расчёт[[#This Row],[33
Тип индекса]]="subtitle",Расчёт[[#This Row],[1
№]]=""),0,E21*G21)</f>
        <v>0</v>
      </c>
      <c r="I21" s="252">
        <f>ROUND(H21*IF(Расчёт[[#This Row],[10
Способ НДС]]=INDEX(НДС,1),1/1.18*0.18,IF(Расчёт[[#This Row],[10
Способ НДС]]=INDEX(НДС,2),0.18,0)),2)</f>
        <v>0</v>
      </c>
      <c r="J21" s="253"/>
      <c r="K21" s="254"/>
      <c r="L21" s="254"/>
      <c r="M21" s="255"/>
      <c r="N21" s="256" t="e">
        <f>ROUND(Расчёт[[#This Row],[8
Сумма продажи]]-Расчёт[[#This Row],[25
Сумма закупки в валюте продажи]]-IF(включить_транспортные_расходы="да",стоимость_доставки*INDEX(расчёт_курса,MATCH(валюта_продажи,валюта,0),2)*IF(MATCH(включить_НДС,НДС,0)=2,(Расчёт[[#This Row],[25
Сумма закупки в валюте продажи]]+Расчёт[[#This Row],[34
НДС закупки]])/(себестоимость+размер_НДС_закупки)/IF(MATCH(Расчёт[[#This Row],[10
Способ НДС]],НДС,0)=3,1,1.18),Расчёт[[#This Row],[25
Сумма закупки в валюте продажи]]/себестоимость),0),2)</f>
        <v>#DIV/0!</v>
      </c>
      <c r="O21" s="257"/>
      <c r="P21" s="258">
        <v>0</v>
      </c>
      <c r="Q21" s="259">
        <f>IF(OR(Расчёт[[#This Row],[33
Тип индекса]]="subtitle",Расчёт[[#This Row],[1
№]]=""),0,Расчёт[[#This Row],[5
Кол-во]]*Расчёт[[#This Row],[16
Цена GPL]])</f>
        <v>0</v>
      </c>
      <c r="R21" s="257"/>
      <c r="S21" s="260">
        <f>Расчёт[[#This Row],[17
Сумма GPL]]*IFERROR(INDEX(расчёт_курса,MATCH(валюта_продажи,валюта,0),MATCH(Расчёт[[#This Row],[15
Валюта GPL]],валюта,0)),0)*IFERROR(INDEX(расчёт_НДС,MATCH(Расчёт[[#This Row],[10
Способ НДС]],НДС,0),MATCH(Расчёт[[#This Row],[18
НДС GPL]],НДС,0)),0)</f>
        <v>0</v>
      </c>
      <c r="T21" s="261" t="str">
        <f>IFERROR(1-Расчёт[[#This Row],[25
Сумма закупки в валюте продажи]]/Расчёт[[#This Row],[19
Сумма GPL в валюте продажи]],"")</f>
        <v/>
      </c>
      <c r="U21" s="262"/>
      <c r="V21" s="263">
        <v>0</v>
      </c>
      <c r="W21" s="264">
        <f>IF(OR(Расчёт[[#This Row],[33
Тип индекса]]="subtitle",Расчёт[[#This Row],[1
№]]=""),0,Расчёт[[#This Row],[5
Кол-во]]*Расчёт[[#This Row],[22
Цена закупки]])</f>
        <v>0</v>
      </c>
      <c r="X21" s="265"/>
      <c r="Y21" s="260">
        <f>Расчёт[[#This Row],[23
Сумма закупки]]*IFERROR(INDEX(расчёт_курса,MATCH(валюта_продажи,валюта,0),MATCH(Расчёт[[#This Row],[21
Валюта закупки]],валюта,0)),0)*IFERROR(INDEX(расчёт_НДС,MATCH(Расчёт[[#This Row],[10
Способ НДС]],НДС,0),MATCH(Расчёт[[#This Row],[24
НДС закупки]],НДС,0)),0)</f>
        <v>0</v>
      </c>
      <c r="Z21" s="266"/>
      <c r="AA21" s="267"/>
      <c r="AB21" s="268"/>
      <c r="AC21" s="269"/>
      <c r="AD21" s="270">
        <f>Расчёт[[#This Row],[5
Кол-во]]*Расчёт[[#This Row],[29
Вес]]</f>
        <v>0</v>
      </c>
      <c r="AE21" s="269"/>
      <c r="AF21" s="271">
        <f>Расчёт[[#This Row],[5
Кол-во]]*Расчёт[[#This Row],[31
Объём]]</f>
        <v>0</v>
      </c>
      <c r="AG21" s="272"/>
      <c r="AH21" s="272">
        <f>ROUND(Расчёт[[#This Row],[25
Сумма закупки в валюте продажи]]*IF(Расчёт[[#This Row],[10
Способ НДС]]=INDEX(НДС,1),1/1.18*0.18,IF(Расчёт[[#This Row],[10
Способ НДС]]=INDEX(НДС,2),0.18,0)),2)</f>
        <v>0</v>
      </c>
    </row>
    <row r="22" spans="1:34" x14ac:dyDescent="0.25">
      <c r="A22" s="245"/>
      <c r="B22" s="246"/>
      <c r="C22" s="247"/>
      <c r="D22" s="248"/>
      <c r="E22" s="249"/>
      <c r="F22" s="250"/>
      <c r="G22" s="251" t="e">
        <f>ROUND(IF(INDEX(источник,1)=Расчёт[[#This Row],[12
Источник для расчёта прибыли]],Расчёт[[#This Row],[16
Цена GPL]]*IFERROR(INDEX(расчёт_курса,MATCH(валюта_продажи,валюта,0),MATCH(Расчёт[[#This Row],[15
Валюта GPL]],валюта,0)),0)*IFERROR(INDEX(расчёт_НДС,MATCH(Расчёт[[#This Row],[10
Способ НДС]],НДС,0),MATCH(Расчёт[[#This Row],[18
НДС GPL]],НДС,0)),0),IF(INDEX(источник,2)=Расчёт[[#This Row],[12
Источник для расчёта прибыли]],Расчёт[[#This Row],[22
Цена закупки]]*IFERROR(INDEX(расчёт_курса,MATCH(валюта_продажи,валюта,0),MATCH(Расчёт[[#This Row],[21
Валюта закупки]],валюта,0)),0)*IFERROR(INDEX(расчёт_НДС,MATCH(Расчёт[[#This Row],[10
Способ НДС]],НДС,0),MATCH(Расчёт[[#This Row],[24
НДС закупки]],НДС,0)),0),0))*IF(INDEX(прибыль,1)=Расчёт[[#This Row],[11
Способ расчёта  прибыли]],(1+Расчёт[[#This Row],[13
Процент прибыли]]),IF(INDEX(прибыль,2)=Расчёт[[#This Row],[11
Способ расчёта  прибыли]],1/(1-Расчёт[[#This Row],[13
Процент прибыли]]),0))+IF(включить_транспортные_расходы="да",IFERROR(стоимость_доставки/Расчёт[[#This Row],[5
Кол-во]],0)*INDEX(расчёт_курса,MATCH(валюта_продажи,валюта,0),2)*IF(MATCH(включить_НДС,НДС,0)=2,(Расчёт[[#This Row],[25
Сумма закупки в валюте продажи]]+Расчёт[[#This Row],[34
НДС закупки]])/(себестоимость+размер_НДС_закупки)/IF(MATCH(Расчёт[[#This Row],[10
Способ НДС]],НДС,0)=3,1,1.18),Расчёт[[#This Row],[25
Сумма закупки в валюте продажи]]/себестоимость),0),2)</f>
        <v>#DIV/0!</v>
      </c>
      <c r="H22" s="251">
        <f>IF(OR(Расчёт[[#This Row],[33
Тип индекса]]="subtitle",Расчёт[[#This Row],[1
№]]=""),0,E22*G22)</f>
        <v>0</v>
      </c>
      <c r="I22" s="252">
        <f>ROUND(H22*IF(Расчёт[[#This Row],[10
Способ НДС]]=INDEX(НДС,1),1/1.18*0.18,IF(Расчёт[[#This Row],[10
Способ НДС]]=INDEX(НДС,2),0.18,0)),2)</f>
        <v>0</v>
      </c>
      <c r="J22" s="253"/>
      <c r="K22" s="254"/>
      <c r="L22" s="254"/>
      <c r="M22" s="255"/>
      <c r="N22" s="256" t="e">
        <f>ROUND(Расчёт[[#This Row],[8
Сумма продажи]]-Расчёт[[#This Row],[25
Сумма закупки в валюте продажи]]-IF(включить_транспортные_расходы="да",стоимость_доставки*INDEX(расчёт_курса,MATCH(валюта_продажи,валюта,0),2)*IF(MATCH(включить_НДС,НДС,0)=2,(Расчёт[[#This Row],[25
Сумма закупки в валюте продажи]]+Расчёт[[#This Row],[34
НДС закупки]])/(себестоимость+размер_НДС_закупки)/IF(MATCH(Расчёт[[#This Row],[10
Способ НДС]],НДС,0)=3,1,1.18),Расчёт[[#This Row],[25
Сумма закупки в валюте продажи]]/себестоимость),0),2)</f>
        <v>#DIV/0!</v>
      </c>
      <c r="O22" s="257"/>
      <c r="P22" s="258">
        <v>0</v>
      </c>
      <c r="Q22" s="259">
        <f>IF(OR(Расчёт[[#This Row],[33
Тип индекса]]="subtitle",Расчёт[[#This Row],[1
№]]=""),0,Расчёт[[#This Row],[5
Кол-во]]*Расчёт[[#This Row],[16
Цена GPL]])</f>
        <v>0</v>
      </c>
      <c r="R22" s="257"/>
      <c r="S22" s="260">
        <f>Расчёт[[#This Row],[17
Сумма GPL]]*IFERROR(INDEX(расчёт_курса,MATCH(валюта_продажи,валюта,0),MATCH(Расчёт[[#This Row],[15
Валюта GPL]],валюта,0)),0)*IFERROR(INDEX(расчёт_НДС,MATCH(Расчёт[[#This Row],[10
Способ НДС]],НДС,0),MATCH(Расчёт[[#This Row],[18
НДС GPL]],НДС,0)),0)</f>
        <v>0</v>
      </c>
      <c r="T22" s="261" t="str">
        <f>IFERROR(1-Расчёт[[#This Row],[25
Сумма закупки в валюте продажи]]/Расчёт[[#This Row],[19
Сумма GPL в валюте продажи]],"")</f>
        <v/>
      </c>
      <c r="U22" s="262"/>
      <c r="V22" s="263">
        <v>0</v>
      </c>
      <c r="W22" s="264">
        <f>IF(OR(Расчёт[[#This Row],[33
Тип индекса]]="subtitle",Расчёт[[#This Row],[1
№]]=""),0,Расчёт[[#This Row],[5
Кол-во]]*Расчёт[[#This Row],[22
Цена закупки]])</f>
        <v>0</v>
      </c>
      <c r="X22" s="265"/>
      <c r="Y22" s="260">
        <f>Расчёт[[#This Row],[23
Сумма закупки]]*IFERROR(INDEX(расчёт_курса,MATCH(валюта_продажи,валюта,0),MATCH(Расчёт[[#This Row],[21
Валюта закупки]],валюта,0)),0)*IFERROR(INDEX(расчёт_НДС,MATCH(Расчёт[[#This Row],[10
Способ НДС]],НДС,0),MATCH(Расчёт[[#This Row],[24
НДС закупки]],НДС,0)),0)</f>
        <v>0</v>
      </c>
      <c r="Z22" s="266"/>
      <c r="AA22" s="267"/>
      <c r="AB22" s="268"/>
      <c r="AC22" s="269"/>
      <c r="AD22" s="270">
        <f>Расчёт[[#This Row],[5
Кол-во]]*Расчёт[[#This Row],[29
Вес]]</f>
        <v>0</v>
      </c>
      <c r="AE22" s="269"/>
      <c r="AF22" s="271">
        <f>Расчёт[[#This Row],[5
Кол-во]]*Расчёт[[#This Row],[31
Объём]]</f>
        <v>0</v>
      </c>
      <c r="AG22" s="272"/>
      <c r="AH22" s="272">
        <f>ROUND(Расчёт[[#This Row],[25
Сумма закупки в валюте продажи]]*IF(Расчёт[[#This Row],[10
Способ НДС]]=INDEX(НДС,1),1/1.18*0.18,IF(Расчёт[[#This Row],[10
Способ НДС]]=INDEX(НДС,2),0.18,0)),2)</f>
        <v>0</v>
      </c>
    </row>
    <row r="23" spans="1:34" s="297" customFormat="1" ht="14.4" thickBot="1" x14ac:dyDescent="0.25">
      <c r="A23" s="273"/>
      <c r="B23" s="274"/>
      <c r="C23" s="275"/>
      <c r="D23" s="275"/>
      <c r="E23" s="274"/>
      <c r="F23" s="276"/>
      <c r="G23" s="277"/>
      <c r="H23" s="278">
        <f>SUBTOTAL(109,Расчёт[8
Сумма продажи])</f>
        <v>0</v>
      </c>
      <c r="I23" s="279">
        <f>SUBTOTAL(109,Расчёт[9
Сумма НДС продажи])</f>
        <v>0</v>
      </c>
      <c r="J23" s="280"/>
      <c r="K23" s="281"/>
      <c r="L23" s="281"/>
      <c r="M23" s="282" t="e">
        <f>Расчёт[[#Totals],[14
Результирующая маржа]]/Расчёт[[#Totals],[8
Сумма продажи]]</f>
        <v>#DIV/0!</v>
      </c>
      <c r="N23" s="283" t="e">
        <f>SUBTOTAL(109,Расчёт[14
Результирующая маржа])</f>
        <v>#DIV/0!</v>
      </c>
      <c r="O23" s="284"/>
      <c r="P23" s="285"/>
      <c r="Q23" s="286">
        <f>SUBTOTAL(109,Расчёт[17
Сумма GPL])</f>
        <v>0</v>
      </c>
      <c r="R23" s="287"/>
      <c r="S23" s="288">
        <f>SUBTOTAL(109,Расчёт[19
Сумма GPL в валюте продажи])</f>
        <v>0</v>
      </c>
      <c r="T23" s="289" t="str">
        <f>IFERROR(1-Расчёт[[#Totals],[25
Сумма закупки в валюте продажи]]/Расчёт[[#Totals],[19
Сумма GPL в валюте продажи]],"")</f>
        <v/>
      </c>
      <c r="U23" s="290"/>
      <c r="V23" s="285"/>
      <c r="W23" s="286"/>
      <c r="X23" s="287"/>
      <c r="Y23" s="288">
        <f>SUBTOTAL(109,Расчёт[25
Сумма закупки в валюте продажи])</f>
        <v>0</v>
      </c>
      <c r="Z23" s="274"/>
      <c r="AA23" s="291"/>
      <c r="AB23" s="274"/>
      <c r="AC23" s="292"/>
      <c r="AD23" s="293">
        <f>SUMIF(Расчёт[1
№],"&lt;&gt;",Расчёт[30
Всего])</f>
        <v>0</v>
      </c>
      <c r="AE23" s="292"/>
      <c r="AF23" s="294">
        <f>SUMIF(Расчёт[1
№],"&lt;&gt;",Расчёт[32
Всего])</f>
        <v>0</v>
      </c>
      <c r="AG23" s="295"/>
      <c r="AH23" s="296">
        <f>SUBTOTAL(109,Расчёт[34
НДС закупки])</f>
        <v>0</v>
      </c>
    </row>
    <row r="24" spans="1:34" x14ac:dyDescent="0.25">
      <c r="A24" s="298"/>
      <c r="B24" s="298"/>
      <c r="C24" s="298"/>
      <c r="D24" s="298"/>
      <c r="E24" s="298"/>
      <c r="F24" s="298"/>
      <c r="G24" s="298"/>
      <c r="H24" s="298"/>
      <c r="I24" s="298"/>
      <c r="J24" s="298"/>
      <c r="K24" s="298"/>
      <c r="L24" s="298"/>
      <c r="M24" s="298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</row>
    <row r="25" spans="1:34" x14ac:dyDescent="0.25">
      <c r="A25" s="298"/>
      <c r="B25" s="298"/>
      <c r="C25" s="298"/>
      <c r="D25" s="298"/>
      <c r="E25" s="298"/>
      <c r="F25" s="298"/>
      <c r="G25" s="298"/>
      <c r="H25" s="298"/>
      <c r="I25" s="298"/>
      <c r="J25" s="298"/>
      <c r="K25" s="298"/>
      <c r="L25" s="298"/>
      <c r="M25" s="298"/>
      <c r="N25" s="298"/>
      <c r="O25" s="298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</row>
    <row r="26" spans="1:34" ht="29.4" x14ac:dyDescent="0.25">
      <c r="A26" s="299" t="s">
        <v>75</v>
      </c>
      <c r="B26" s="300" t="s">
        <v>47</v>
      </c>
      <c r="C26" s="300" t="s">
        <v>12</v>
      </c>
      <c r="D26" s="300" t="s">
        <v>11</v>
      </c>
      <c r="E26" s="301" t="s">
        <v>46</v>
      </c>
      <c r="F26" s="301" t="s">
        <v>181</v>
      </c>
      <c r="G26" s="302" t="s">
        <v>52</v>
      </c>
      <c r="H26" s="303" t="s">
        <v>13</v>
      </c>
      <c r="S26" s="305"/>
      <c r="W26" s="305"/>
      <c r="Y26" s="305"/>
    </row>
    <row r="27" spans="1:34" x14ac:dyDescent="0.25">
      <c r="A27" s="307" t="s">
        <v>57</v>
      </c>
      <c r="B27" s="308"/>
      <c r="C27" s="308"/>
      <c r="D27" s="309"/>
      <c r="E27" s="310">
        <f>вес</f>
        <v>0</v>
      </c>
      <c r="F27" s="310">
        <f>объём</f>
        <v>0</v>
      </c>
      <c r="G27" s="311"/>
      <c r="H27" s="312"/>
    </row>
    <row r="28" spans="1:34" x14ac:dyDescent="0.25">
      <c r="A28" s="313" t="s">
        <v>58</v>
      </c>
      <c r="B28" s="308"/>
      <c r="C28" s="308"/>
      <c r="D28" s="309"/>
      <c r="E28" s="310">
        <f>вес</f>
        <v>0</v>
      </c>
      <c r="F28" s="310">
        <f>объём</f>
        <v>0</v>
      </c>
      <c r="G28" s="311"/>
      <c r="H28" s="312"/>
    </row>
    <row r="29" spans="1:34" x14ac:dyDescent="0.25">
      <c r="A29" s="313" t="s">
        <v>58</v>
      </c>
      <c r="B29" s="308"/>
      <c r="C29" s="308"/>
      <c r="D29" s="309"/>
      <c r="E29" s="310">
        <f>вес</f>
        <v>0</v>
      </c>
      <c r="F29" s="310">
        <f>объём</f>
        <v>0</v>
      </c>
      <c r="G29" s="311"/>
      <c r="H29" s="312"/>
    </row>
    <row r="30" spans="1:34" x14ac:dyDescent="0.25">
      <c r="A30" s="314"/>
      <c r="B30" s="315"/>
      <c r="C30" s="315"/>
      <c r="D30" s="274" t="s">
        <v>9</v>
      </c>
      <c r="E30" s="316">
        <f>SUMIF(Доставка[Вкл. в расчёт],"=да",Доставка[Общий вес, кг])</f>
        <v>0</v>
      </c>
      <c r="F30" s="316">
        <f>SUMIF(Доставка[Вкл. в расчёт],"=да",Доставка[Общий объем, м3])</f>
        <v>0</v>
      </c>
      <c r="G30" s="317">
        <f>SUMIF(Доставка[Вкл. в расчёт],"=да",Доставка[Цена, руб. с НДС])</f>
        <v>0</v>
      </c>
      <c r="H30" s="318"/>
    </row>
  </sheetData>
  <dataConsolidate/>
  <mergeCells count="32">
    <mergeCell ref="AG13:AH14"/>
    <mergeCell ref="A5:B5"/>
    <mergeCell ref="T14:T15"/>
    <mergeCell ref="G4:H4"/>
    <mergeCell ref="G9:H9"/>
    <mergeCell ref="A9:B9"/>
    <mergeCell ref="A10:B10"/>
    <mergeCell ref="A11:B11"/>
    <mergeCell ref="AE13:AF14"/>
    <mergeCell ref="AC13:AD14"/>
    <mergeCell ref="Z13:Z15"/>
    <mergeCell ref="AA13:AA15"/>
    <mergeCell ref="AB13:AB15"/>
    <mergeCell ref="O14:S14"/>
    <mergeCell ref="U14:Y14"/>
    <mergeCell ref="O13:Y13"/>
    <mergeCell ref="A2:H2"/>
    <mergeCell ref="J14:J15"/>
    <mergeCell ref="I14:I15"/>
    <mergeCell ref="H14:H15"/>
    <mergeCell ref="G14:G15"/>
    <mergeCell ref="A13:A15"/>
    <mergeCell ref="B13:B15"/>
    <mergeCell ref="C13:C15"/>
    <mergeCell ref="D13:D15"/>
    <mergeCell ref="E13:E15"/>
    <mergeCell ref="F13:F15"/>
    <mergeCell ref="G13:N13"/>
    <mergeCell ref="K14:N14"/>
    <mergeCell ref="A4:B4"/>
    <mergeCell ref="A7:B7"/>
    <mergeCell ref="A6:B6"/>
  </mergeCells>
  <conditionalFormatting sqref="V17:W22 P17:Q22">
    <cfRule type="expression" dxfId="26" priority="38">
      <formula>OR(O17="EUR",IFERROR(N17="EUR",FALSE))</formula>
    </cfRule>
    <cfRule type="expression" dxfId="25" priority="40">
      <formula>OR(O17="",IFERROR(N17="",FALSE))</formula>
    </cfRule>
  </conditionalFormatting>
  <conditionalFormatting sqref="V17:W23 P17:Q23">
    <cfRule type="expression" dxfId="24" priority="37">
      <formula>OR(O17="RUR",IFERROR(N17="RUR",FALSE))</formula>
    </cfRule>
    <cfRule type="expression" dxfId="23" priority="39">
      <formula>OR(O17="USD",IFERROR(N17="USD",FALSE))</formula>
    </cfRule>
  </conditionalFormatting>
  <conditionalFormatting sqref="M23">
    <cfRule type="colorScale" priority="60">
      <colorScale>
        <cfvo type="num" val="0.02"/>
        <cfvo type="num" val="0.1"/>
        <cfvo type="num" val="0.2"/>
        <color rgb="FFF8696B"/>
        <color rgb="FFFFEB84"/>
        <color rgb="FF63BE7B"/>
      </colorScale>
    </cfRule>
  </conditionalFormatting>
  <conditionalFormatting sqref="H17:H22 Q17:Q22 W17:W22">
    <cfRule type="expression" dxfId="22" priority="31">
      <formula>AND(H17=0,G17&lt;&gt;0,$A17&lt;&gt;"",$E17&lt;&gt;"")</formula>
    </cfRule>
  </conditionalFormatting>
  <conditionalFormatting sqref="D17:D22">
    <cfRule type="expression" dxfId="21" priority="28">
      <formula>$AG17="assembly"</formula>
    </cfRule>
    <cfRule type="expression" dxfId="20" priority="29">
      <formula>$AG17="subtitle"</formula>
    </cfRule>
  </conditionalFormatting>
  <conditionalFormatting sqref="J17:J22">
    <cfRule type="expression" dxfId="19" priority="680">
      <formula>OR(AND(IF(L17="GPL",R17&lt;&gt;INDEX(НДС,3),X17&lt;&gt;INDEX(НДС,3)),J17=INDEX(НДС,3)),AND(J17="",ISNUMBER(SEARCH(".0",$A17))))</formula>
    </cfRule>
  </conditionalFormatting>
  <conditionalFormatting sqref="N17:N23 G17:I23 Y17:Y23 S17:S23">
    <cfRule type="expression" dxfId="18" priority="32">
      <formula>валюта_продажи="RUR"</formula>
    </cfRule>
    <cfRule type="expression" dxfId="17" priority="35">
      <formula>валюта_продажи="EUR"</formula>
    </cfRule>
    <cfRule type="expression" dxfId="16" priority="36">
      <formula>валюта_продажи="USD"</formula>
    </cfRule>
  </conditionalFormatting>
  <conditionalFormatting sqref="A17:AH22">
    <cfRule type="expression" dxfId="15" priority="12" stopIfTrue="1">
      <formula>INDIRECT(ADDRESS(ROW(),1))=""</formula>
    </cfRule>
  </conditionalFormatting>
  <conditionalFormatting sqref="K17:K22">
    <cfRule type="expression" dxfId="14" priority="13">
      <formula>K17="маржа"</formula>
    </cfRule>
    <cfRule type="expression" dxfId="13" priority="14">
      <formula>K17="наценка"</formula>
    </cfRule>
  </conditionalFormatting>
  <conditionalFormatting sqref="L17:L22">
    <cfRule type="expression" dxfId="12" priority="15">
      <formula>L17="вход"</formula>
    </cfRule>
    <cfRule type="expression" dxfId="11" priority="16">
      <formula>L17="GPL"</formula>
    </cfRule>
  </conditionalFormatting>
  <conditionalFormatting sqref="G17:I22 N17:N22">
    <cfRule type="containsErrors" dxfId="10" priority="1592">
      <formula>ISERROR(G17)</formula>
    </cfRule>
  </conditionalFormatting>
  <conditionalFormatting sqref="M17:M22">
    <cfRule type="expression" dxfId="9" priority="1635">
      <formula>OR(AND(K17="наценка",M17&lt;=-1),AND(K17="маржа",M17&gt;=1))</formula>
    </cfRule>
    <cfRule type="dataBar" priority="1636">
      <dataBar>
        <cfvo type="formula" val="SMALL(($A$17:$A$22&lt;&gt;&quot;&quot;)*$M$17:$M$22,1)"/>
        <cfvo type="formula" val="LARGE(($A$17:$A$22&lt;&gt;&quot;&quot;)*$M$17:$M$22,1)"/>
        <color rgb="FF638EC6"/>
      </dataBar>
      <extLst>
        <ext xmlns:x14="http://schemas.microsoft.com/office/spreadsheetml/2009/9/main" uri="{B025F937-C7B1-47D3-B67F-A62EFF666E3E}">
          <x14:id>{A5D166BA-1F07-48B0-AC65-5925FD86D1E0}</x14:id>
        </ext>
      </extLst>
    </cfRule>
  </conditionalFormatting>
  <conditionalFormatting sqref="N17:N22">
    <cfRule type="dataBar" priority="1637">
      <dataBar>
        <cfvo type="formula" val="SMALL(($A$17:$A$22&lt;&gt;&quot;&quot;)*$N$17:$N$22,1)"/>
        <cfvo type="formula" val="LARGE(($A$17:$A$22&lt;&gt;&quot;&quot;)*$N$17:$N$22,1)"/>
        <color rgb="FFCCFFCC"/>
      </dataBar>
      <extLst>
        <ext xmlns:x14="http://schemas.microsoft.com/office/spreadsheetml/2009/9/main" uri="{B025F937-C7B1-47D3-B67F-A62EFF666E3E}">
          <x14:id>{0B6C1EFA-1444-4BFE-9C12-6553F65206B0}</x14:id>
        </ext>
      </extLst>
    </cfRule>
  </conditionalFormatting>
  <conditionalFormatting sqref="A17:A22">
    <cfRule type="duplicateValues" dxfId="8" priority="1638"/>
  </conditionalFormatting>
  <dataValidations count="13">
    <dataValidation type="list" allowBlank="1" showInputMessage="1" showErrorMessage="1" sqref="E4">
      <formula1>валюта</formula1>
    </dataValidation>
    <dataValidation type="list" allowBlank="1" showInputMessage="1" showErrorMessage="1" sqref="C10">
      <formula1>отдел_закупок</formula1>
    </dataValidation>
    <dataValidation type="list" allowBlank="1" showInputMessage="1" showErrorMessage="1" sqref="A27:A29 E6">
      <formula1>"да,нет"</formula1>
    </dataValidation>
    <dataValidation type="list" showInputMessage="1" showErrorMessage="1" sqref="E5">
      <formula1>НДС</formula1>
    </dataValidation>
    <dataValidation type="list" allowBlank="1" showInputMessage="1" showErrorMessage="1" sqref="B27:B29">
      <formula1>тип_доставки</formula1>
    </dataValidation>
    <dataValidation type="list" allowBlank="1" showInputMessage="1" showErrorMessage="1" sqref="R17:R22 X17:X22">
      <formula1>НДС</formula1>
    </dataValidation>
    <dataValidation type="list" allowBlank="1" showInputMessage="1" showErrorMessage="1" errorTitle="Ошибочные значения в ячейке" error="Можно ввести USD, EUR или RUR" sqref="O17:O22 U17:U22">
      <formula1>валюта</formula1>
    </dataValidation>
    <dataValidation type="list" allowBlank="1" showInputMessage="1" showErrorMessage="1" sqref="F17:F22">
      <formula1>ед_изм</formula1>
    </dataValidation>
    <dataValidation operator="greaterThanOrEqual" allowBlank="1" showInputMessage="1" showErrorMessage="1" sqref="A17:A22"/>
    <dataValidation type="decimal" allowBlank="1" showInputMessage="1" showErrorMessage="1" sqref="E17:E22">
      <formula1>0</formula1>
      <formula2>2000000000000000</formula2>
    </dataValidation>
    <dataValidation type="list" allowBlank="1" showInputMessage="1" showErrorMessage="1" sqref="K17:K22">
      <formula1>прибыль</formula1>
    </dataValidation>
    <dataValidation type="list" allowBlank="1" showInputMessage="1" showErrorMessage="1" sqref="L17:L22">
      <formula1>источник</formula1>
    </dataValidation>
    <dataValidation type="list" allowBlank="1" showInputMessage="1" showErrorMessage="1" sqref="J17:J22">
      <formula1>"с НДС,н/о НДС"</formula1>
    </dataValidation>
  </dataValidations>
  <pageMargins left="0.7" right="0.7" top="0.75" bottom="0.75" header="0.3" footer="0.3"/>
  <pageSetup paperSize="9" scale="3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buttonPN_Click">
                <anchor moveWithCells="1" sizeWithCells="1">
                  <from>
                    <xdr:col>2</xdr:col>
                    <xdr:colOff>982980</xdr:colOff>
                    <xdr:row>12</xdr:row>
                    <xdr:rowOff>30480</xdr:rowOff>
                  </from>
                  <to>
                    <xdr:col>2</xdr:col>
                    <xdr:colOff>1630680</xdr:colOff>
                    <xdr:row>14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buttonDescription_Click">
                <anchor moveWithCells="1" sizeWithCells="1">
                  <from>
                    <xdr:col>3</xdr:col>
                    <xdr:colOff>2156460</xdr:colOff>
                    <xdr:row>12</xdr:row>
                    <xdr:rowOff>38100</xdr:rowOff>
                  </from>
                  <to>
                    <xdr:col>3</xdr:col>
                    <xdr:colOff>3345180</xdr:colOff>
                    <xdr:row>14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Кнопка 12">
              <controlPr defaultSize="0" print="0" autoFill="0" autoPict="0" macro="[0]!addFiveRowsLast_Click">
                <anchor moveWithCells="1" sizeWithCells="1">
                  <from>
                    <xdr:col>1</xdr:col>
                    <xdr:colOff>60960</xdr:colOff>
                    <xdr:row>22</xdr:row>
                    <xdr:rowOff>22860</xdr:rowOff>
                  </from>
                  <to>
                    <xdr:col>1</xdr:col>
                    <xdr:colOff>632460</xdr:colOff>
                    <xdr:row>22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Кнопка 15">
              <controlPr defaultSize="0" print="0" autoFill="0" autoPict="0" macro="[0]!addTwentyRowsLast_Click">
                <anchor moveWithCells="1" sizeWithCells="1">
                  <from>
                    <xdr:col>1</xdr:col>
                    <xdr:colOff>670560</xdr:colOff>
                    <xdr:row>22</xdr:row>
                    <xdr:rowOff>22860</xdr:rowOff>
                  </from>
                  <to>
                    <xdr:col>1</xdr:col>
                    <xdr:colOff>1219200</xdr:colOff>
                    <xdr:row>22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2" r:id="rId8" name="Кнопка 12">
              <controlPr defaultSize="0" print="0" autoFill="0" autoPict="0" macro="[0]!addFiveRowsFirst_Click">
                <anchor moveWithCells="1" sizeWithCells="1">
                  <from>
                    <xdr:col>1</xdr:col>
                    <xdr:colOff>45720</xdr:colOff>
                    <xdr:row>14</xdr:row>
                    <xdr:rowOff>175260</xdr:rowOff>
                  </from>
                  <to>
                    <xdr:col>1</xdr:col>
                    <xdr:colOff>632460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3" r:id="rId9" name="Кнопка 12">
              <controlPr defaultSize="0" print="0" autoFill="0" autoPict="0" macro="[0]!addTwentyRowsFirst_Click">
                <anchor moveWithCells="1" sizeWithCells="1">
                  <from>
                    <xdr:col>1</xdr:col>
                    <xdr:colOff>647700</xdr:colOff>
                    <xdr:row>14</xdr:row>
                    <xdr:rowOff>175260</xdr:rowOff>
                  </from>
                  <to>
                    <xdr:col>1</xdr:col>
                    <xdr:colOff>1226820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9" r:id="rId10" name="Кнопка: в word">
              <controlPr defaultSize="0" print="0" disabled="1" autoFill="0" autoPict="0" macro="[0]!wordExportButton_Click">
                <anchor>
                  <from>
                    <xdr:col>11</xdr:col>
                    <xdr:colOff>541020</xdr:colOff>
                    <xdr:row>7</xdr:row>
                    <xdr:rowOff>121920</xdr:rowOff>
                  </from>
                  <to>
                    <xdr:col>12</xdr:col>
                    <xdr:colOff>396240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0" r:id="rId11" name="Кнопка: в excel">
              <controlPr defaultSize="0" print="0" disabled="1" autoFill="0" autoPict="0" macro="[0]!excelExportButton_Click">
                <anchor>
                  <from>
                    <xdr:col>10</xdr:col>
                    <xdr:colOff>655320</xdr:colOff>
                    <xdr:row>7</xdr:row>
                    <xdr:rowOff>121920</xdr:rowOff>
                  </from>
                  <to>
                    <xdr:col>11</xdr:col>
                    <xdr:colOff>495300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1" r:id="rId12" name="Кнопка: в 1С">
              <controlPr defaultSize="0" print="0" disabled="1" autoFill="0" autoPict="0">
                <anchor>
                  <from>
                    <xdr:col>10</xdr:col>
                    <xdr:colOff>655320</xdr:colOff>
                    <xdr:row>9</xdr:row>
                    <xdr:rowOff>121920</xdr:rowOff>
                  </from>
                  <to>
                    <xdr:col>12</xdr:col>
                    <xdr:colOff>388620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3" r:id="rId13" name="Срок доставки">
              <controlPr defaultSize="0" print="0" autoFill="0" autoLine="0" autoPict="0" macro="[0]!SalesColumns_Click" altText="10">
                <anchor>
                  <from>
                    <xdr:col>9</xdr:col>
                    <xdr:colOff>144780</xdr:colOff>
                    <xdr:row>10</xdr:row>
                    <xdr:rowOff>22860</xdr:rowOff>
                  </from>
                  <to>
                    <xdr:col>10</xdr:col>
                    <xdr:colOff>502920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4" r:id="rId14" name="НДС">
              <controlPr defaultSize="0" print="0" autoFill="0" autoLine="0" autoPict="0" macro="[0]!SalesColumns_Click" altText="9">
                <anchor>
                  <from>
                    <xdr:col>9</xdr:col>
                    <xdr:colOff>144780</xdr:colOff>
                    <xdr:row>9</xdr:row>
                    <xdr:rowOff>60960</xdr:rowOff>
                  </from>
                  <to>
                    <xdr:col>10</xdr:col>
                    <xdr:colOff>502920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5" r:id="rId15" name="Сумма">
              <controlPr defaultSize="0" print="0" autoFill="0" autoLine="0" autoPict="0" macro="[0]!SalesColumns_Click" altText="8">
                <anchor>
                  <from>
                    <xdr:col>9</xdr:col>
                    <xdr:colOff>144780</xdr:colOff>
                    <xdr:row>8</xdr:row>
                    <xdr:rowOff>99060</xdr:rowOff>
                  </from>
                  <to>
                    <xdr:col>10</xdr:col>
                    <xdr:colOff>502920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6" r:id="rId16" name="Цена">
              <controlPr defaultSize="0" print="0" autoFill="0" autoLine="0" autoPict="0" macro="[0]!SalesColumns_Click" altText="7">
                <anchor>
                  <from>
                    <xdr:col>9</xdr:col>
                    <xdr:colOff>144780</xdr:colOff>
                    <xdr:row>7</xdr:row>
                    <xdr:rowOff>129540</xdr:rowOff>
                  </from>
                  <to>
                    <xdr:col>10</xdr:col>
                    <xdr:colOff>502920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7" r:id="rId17" name="Ед. изм.">
              <controlPr defaultSize="0" print="0" autoFill="0" autoLine="0" autoPict="0" macro="[0]!SalesColumns_Click" altText="6">
                <anchor>
                  <from>
                    <xdr:col>9</xdr:col>
                    <xdr:colOff>144780</xdr:colOff>
                    <xdr:row>6</xdr:row>
                    <xdr:rowOff>167640</xdr:rowOff>
                  </from>
                  <to>
                    <xdr:col>10</xdr:col>
                    <xdr:colOff>502920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8" r:id="rId18" name="Кол-во">
              <controlPr defaultSize="0" print="0" autoFill="0" autoLine="0" autoPict="0" macro="[0]!SalesColumns_Click" altText="5">
                <anchor>
                  <from>
                    <xdr:col>9</xdr:col>
                    <xdr:colOff>144780</xdr:colOff>
                    <xdr:row>6</xdr:row>
                    <xdr:rowOff>22860</xdr:rowOff>
                  </from>
                  <to>
                    <xdr:col>10</xdr:col>
                    <xdr:colOff>502920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9" r:id="rId19" name="Наименование">
              <controlPr defaultSize="0" print="0" autoFill="0" autoLine="0" autoPict="0" macro="[0]!SalesColumns_Click" altText="4">
                <anchor>
                  <from>
                    <xdr:col>9</xdr:col>
                    <xdr:colOff>144780</xdr:colOff>
                    <xdr:row>5</xdr:row>
                    <xdr:rowOff>60960</xdr:rowOff>
                  </from>
                  <to>
                    <xdr:col>10</xdr:col>
                    <xdr:colOff>502920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0" r:id="rId20" name="p/n">
              <controlPr defaultSize="0" print="0" autoFill="0" autoLine="0" autoPict="0" macro="[0]!SalesColumns_Click" altText="3">
                <anchor>
                  <from>
                    <xdr:col>9</xdr:col>
                    <xdr:colOff>144780</xdr:colOff>
                    <xdr:row>4</xdr:row>
                    <xdr:rowOff>91440</xdr:rowOff>
                  </from>
                  <to>
                    <xdr:col>10</xdr:col>
                    <xdr:colOff>502920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1" r:id="rId21" name="Производитель">
              <controlPr defaultSize="0" print="0" autoFill="0" autoLine="0" autoPict="0" macro="[0]!SalesColumns_Click" altText="2">
                <anchor>
                  <from>
                    <xdr:col>9</xdr:col>
                    <xdr:colOff>144780</xdr:colOff>
                    <xdr:row>3</xdr:row>
                    <xdr:rowOff>129540</xdr:rowOff>
                  </from>
                  <to>
                    <xdr:col>10</xdr:col>
                    <xdr:colOff>502920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2" r:id="rId22" name="№">
              <controlPr defaultSize="0" print="0" autoFill="0" autoLine="0" autoPict="0" macro="[0]!SalesColumns_Click" altText="1">
                <anchor>
                  <from>
                    <xdr:col>9</xdr:col>
                    <xdr:colOff>144780</xdr:colOff>
                    <xdr:row>2</xdr:row>
                    <xdr:rowOff>152400</xdr:rowOff>
                  </from>
                  <to>
                    <xdr:col>10</xdr:col>
                    <xdr:colOff>502920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3" r:id="rId23" name="Окно группы: колонки таблицы КП">
              <controlPr defaultSize="0" print="0" autoFill="0" autoPict="0">
                <anchor>
                  <from>
                    <xdr:col>9</xdr:col>
                    <xdr:colOff>99060</xdr:colOff>
                    <xdr:row>2</xdr:row>
                    <xdr:rowOff>76200</xdr:rowOff>
                  </from>
                  <to>
                    <xdr:col>10</xdr:col>
                    <xdr:colOff>556260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6" r:id="rId24" name="Выбор расчёта">
              <controlPr defaultSize="0" print="0" autoLine="0" autoPict="0" macro="[0]!Dropdown_Change">
                <anchor>
                  <from>
                    <xdr:col>10</xdr:col>
                    <xdr:colOff>655320</xdr:colOff>
                    <xdr:row>6</xdr:row>
                    <xdr:rowOff>53340</xdr:rowOff>
                  </from>
                  <to>
                    <xdr:col>12</xdr:col>
                    <xdr:colOff>388620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7" r:id="rId25" name="Кнопка _рассчитать_">
              <controlPr defaultSize="0" print="0" autoFill="0" autoPict="0" macro="[0]!CalcButton_Click">
                <anchor>
                  <from>
                    <xdr:col>10</xdr:col>
                    <xdr:colOff>655320</xdr:colOff>
                    <xdr:row>2</xdr:row>
                    <xdr:rowOff>76200</xdr:rowOff>
                  </from>
                  <to>
                    <xdr:col>12</xdr:col>
                    <xdr:colOff>388620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2">
    <tablePart r:id="rId26"/>
    <tablePart r:id="rId2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1" id="{00000000-000E-0000-0100-000030000000}">
            <x14:iconSet iconSet="3Arrows" custom="1">
              <x14:cfvo type="percent">
                <xm:f>0</xm:f>
              </x14:cfvo>
              <x14:cfvo type="formula">
                <xm:f>курс_USD_ЦБ*0.95</xm:f>
              </x14:cfvo>
              <x14:cfvo type="formula">
                <xm:f>курс_USD_ЦБ*1.05</xm:f>
              </x14:cfvo>
              <x14:cfIcon iconSet="3Triangles" iconId="0"/>
              <x14:cfIcon iconSet="NoIcons" iconId="0"/>
              <x14:cfIcon iconSet="3Triangles" iconId="2"/>
            </x14:iconSet>
          </x14:cfRule>
          <xm:sqref>H5</xm:sqref>
        </x14:conditionalFormatting>
        <x14:conditionalFormatting xmlns:xm="http://schemas.microsoft.com/office/excel/2006/main">
          <x14:cfRule type="iconSet" priority="681" id="{00000000-000E-0000-0100-000031000000}">
            <x14:iconSet iconSet="3Triangles" custom="1">
              <x14:cfvo type="percent">
                <xm:f>0</xm:f>
              </x14:cfvo>
              <x14:cfvo type="formula">
                <xm:f>курс_EUR_ЦБ*0.95</xm:f>
              </x14:cfvo>
              <x14:cfvo type="formula">
                <xm:f>курс_EUR_ЦБ*1.05</xm:f>
              </x14:cfvo>
              <x14:cfIcon iconSet="3Triangles" iconId="0"/>
              <x14:cfIcon iconSet="NoIcons" iconId="0"/>
              <x14:cfIcon iconSet="3Triangles" iconId="2"/>
            </x14:iconSet>
          </x14:cfRule>
          <xm:sqref>H6</xm:sqref>
        </x14:conditionalFormatting>
        <x14:conditionalFormatting xmlns:xm="http://schemas.microsoft.com/office/excel/2006/main">
          <x14:cfRule type="dataBar" id="{A5D166BA-1F07-48B0-AC65-5925FD86D1E0}">
            <x14:dataBar minLength="0" maxLength="100" gradient="0">
              <x14:cfvo type="formula">
                <xm:f>SMALL(($A$17:$A$22&lt;&gt;"")*$M$17:$M$22,1)</xm:f>
              </x14:cfvo>
              <x14:cfvo type="formula">
                <xm:f>LARGE(($A$17:$A$22&lt;&gt;"")*$M$17:$M$22,1)</xm:f>
              </x14:cfvo>
              <x14:negativeFillColor rgb="FFFF0000"/>
              <x14:axisColor rgb="FF000000"/>
            </x14:dataBar>
          </x14:cfRule>
          <xm:sqref>M17:M22</xm:sqref>
        </x14:conditionalFormatting>
        <x14:conditionalFormatting xmlns:xm="http://schemas.microsoft.com/office/excel/2006/main">
          <x14:cfRule type="dataBar" id="{0B6C1EFA-1444-4BFE-9C12-6553F65206B0}">
            <x14:dataBar minLength="0" maxLength="100" gradient="0">
              <x14:cfvo type="formula">
                <xm:f>SMALL(($A$17:$A$22&lt;&gt;"")*$N$17:$N$22,1)</xm:f>
              </x14:cfvo>
              <x14:cfvo type="formula">
                <xm:f>LARGE(($A$17:$A$22&lt;&gt;"")*$N$17:$N$22,1)</xm:f>
              </x14:cfvo>
              <x14:negativeFillColor rgb="FFFFCCCC"/>
              <x14:axisColor rgb="FF000000"/>
            </x14:dataBar>
          </x14:cfRule>
          <xm:sqref>N17:N22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>
          <x14:colorSeries theme="8" tint="-0.249977111117893"/>
          <x14:colorNegative theme="9"/>
          <x14:colorAxis rgb="FF000000"/>
          <x14:colorMarkers theme="9" tint="-0.249977111117893"/>
          <x14:colorFirst theme="9" tint="-0.249977111117893"/>
          <x14:colorLast theme="9" tint="-0.249977111117893"/>
          <x14:colorHigh theme="9" tint="-0.249977111117893"/>
          <x14:colorLow theme="9" tint="-0.249977111117893"/>
          <x14:sparklines>
            <x14:sparkline>
              <xm:f>динамика_курса_EUR</xm:f>
              <xm:sqref>H10</xm:sqref>
            </x14:sparkline>
            <x14:sparkline>
              <xm:f>динамика_курса_EUR</xm:f>
              <xm:sqref>H11</xm:sqref>
            </x14:sparkline>
          </x14:sparklines>
        </x14:sparklineGroup>
      </x14:sparklineGroups>
    </ext>
    <ext xmlns:x15="http://schemas.microsoft.com/office/spreadsheetml/2010/11/main" uri="{3A4CF648-6AED-40f4-86FF-DC5316D8AED3}">
      <x14:slicerList xmlns:x14="http://schemas.microsoft.com/office/spreadsheetml/2009/9/main">
        <x14:slicer r:id="rId28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6BFC3D-D27D-49FD-8153-963B06C3F3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42</vt:i4>
      </vt:variant>
    </vt:vector>
  </HeadingPairs>
  <TitlesOfParts>
    <vt:vector size="46" baseType="lpstr">
      <vt:lpstr>Служебный</vt:lpstr>
      <vt:lpstr>WHAT'S NEW</vt:lpstr>
      <vt:lpstr>Лист согласования</vt:lpstr>
      <vt:lpstr>Внутренняя спецификация</vt:lpstr>
      <vt:lpstr>GPL</vt:lpstr>
      <vt:lpstr>без_НДС</vt:lpstr>
      <vt:lpstr>валюта</vt:lpstr>
      <vt:lpstr>валюта_кп</vt:lpstr>
      <vt:lpstr>валюта_продажи</vt:lpstr>
      <vt:lpstr>вес</vt:lpstr>
      <vt:lpstr>включить_НДС</vt:lpstr>
      <vt:lpstr>включить_транспортные_расходы</vt:lpstr>
      <vt:lpstr>выручка</vt:lpstr>
      <vt:lpstr>дата_текущего_курса</vt:lpstr>
      <vt:lpstr>динамика_курса_EUR</vt:lpstr>
      <vt:lpstr>динамика_курса_USD</vt:lpstr>
      <vt:lpstr>ед_изм</vt:lpstr>
      <vt:lpstr>источник</vt:lpstr>
      <vt:lpstr>контрагент</vt:lpstr>
      <vt:lpstr>курс_EUR_расчётный</vt:lpstr>
      <vt:lpstr>курс_EUR_ЦБ</vt:lpstr>
      <vt:lpstr>курс_USD_расчётный</vt:lpstr>
      <vt:lpstr>курс_USD_ЦБ</vt:lpstr>
      <vt:lpstr>маржа</vt:lpstr>
      <vt:lpstr>менеджеры</vt:lpstr>
      <vt:lpstr>менеджеры_должность</vt:lpstr>
      <vt:lpstr>НДС</vt:lpstr>
      <vt:lpstr>обеспечение</vt:lpstr>
      <vt:lpstr>обеспечение_область</vt:lpstr>
      <vt:lpstr>объём</vt:lpstr>
      <vt:lpstr>отдел_закупок</vt:lpstr>
      <vt:lpstr>прибыль</vt:lpstr>
      <vt:lpstr>проектный_менеджер</vt:lpstr>
      <vt:lpstr>размер_НДС</vt:lpstr>
      <vt:lpstr>размер_НДС_закупки</vt:lpstr>
      <vt:lpstr>расчёт_курса</vt:lpstr>
      <vt:lpstr>расчёт_НДС</vt:lpstr>
      <vt:lpstr>с_НДС</vt:lpstr>
      <vt:lpstr>себестоимость</vt:lpstr>
      <vt:lpstr>способы_проведения_тендеров</vt:lpstr>
      <vt:lpstr>стоимость_доставки</vt:lpstr>
      <vt:lpstr>тендер</vt:lpstr>
      <vt:lpstr>тендер_область</vt:lpstr>
      <vt:lpstr>тип_доставки</vt:lpstr>
      <vt:lpstr>условия_выполнения</vt:lpstr>
      <vt:lpstr>условия_оплаты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Василий Ковальчук</dc:creator>
  <cp:lastModifiedBy>Василий Ковальчук</cp:lastModifiedBy>
  <cp:lastPrinted>2017-09-23T18:03:57Z</cp:lastPrinted>
  <dcterms:created xsi:type="dcterms:W3CDTF">2006-09-16T00:00:00Z</dcterms:created>
  <dcterms:modified xsi:type="dcterms:W3CDTF">2017-09-23T23:24:35Z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