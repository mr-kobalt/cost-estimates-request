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v.kovalchuk\Google Диск\Work\4by4\3. Info\CER\"/>
    </mc:Choice>
  </mc:AlternateContent>
  <bookViews>
    <workbookView xWindow="7440" yWindow="0" windowWidth="28800" windowHeight="12300" firstSheet="1" activeTab="3"/>
  </bookViews>
  <sheets>
    <sheet name="Служебный" sheetId="5" state="hidden" r:id="rId1"/>
    <sheet name="WHAT'S NEW" sheetId="11" r:id="rId2"/>
    <sheet name="Лист согласования" sheetId="10" r:id="rId3"/>
    <sheet name="Расчёт закупки" sheetId="4" r:id="rId4"/>
    <sheet name="Расчёт продажи" sheetId="3" r:id="rId5"/>
  </sheets>
  <functionGroups builtInGroupCount="18"/>
  <definedNames>
    <definedName name="_xlnm._FilterDatabase" localSheetId="3" hidden="1">'Расчёт закупки'!$A$16:$Z$43</definedName>
    <definedName name="GPL">Расчёт[[#Totals],[8
Сумма GPL]]</definedName>
    <definedName name="валюта">Служебный!$A$2:$A$4</definedName>
    <definedName name="валюта_кп">Служебный!$I$2:$I$4</definedName>
    <definedName name="валюта_расчёта">'Расчёт закупки'!$E$4</definedName>
    <definedName name="вес">Расчёт[[#Totals],[17
Всего]]</definedName>
    <definedName name="включить_НДС">'Расчёт закупки'!$E$5</definedName>
    <definedName name="включить_транспортные_расходы">'Расчёт закупки'!$E$6</definedName>
    <definedName name="выручка">'Расчёт продажи'!$I$43</definedName>
    <definedName name="дата_текущего_курса">'Расчёт закупки'!$G$9</definedName>
    <definedName name="динамика_курса_EUR">Служебный!$O$2:$O$11</definedName>
    <definedName name="динамика_курса_USD">Служебный!$N$2:$N$11</definedName>
    <definedName name="доля_доставки">Служебный!$B$12</definedName>
    <definedName name="ед_изм">Служебный!$L$2:$L$9</definedName>
    <definedName name="источник">Служебный!$K$2:$K$3</definedName>
    <definedName name="контрагент">'Расчёт закупки'!$C$4</definedName>
    <definedName name="курс_EUR_расчётный">'Расчёт закупки'!$H$6</definedName>
    <definedName name="курс_EUR_ЦБ">'Расчёт закупки'!$H$11</definedName>
    <definedName name="курс_USD_расчётный">'Расчёт закупки'!$H$5</definedName>
    <definedName name="курс_USD_ЦБ">'Расчёт закупки'!$H$10</definedName>
    <definedName name="маржа">'Лист согласования'!$C$14</definedName>
    <definedName name="менеджеры">Служебный!$P$2:$P$15</definedName>
    <definedName name="менеджеры_должность">Служебный!$Q$2:$Q$15</definedName>
    <definedName name="НДС">Служебный!$E$2:$E$4</definedName>
    <definedName name="обеспечение">'Лист согласования'!$G$63</definedName>
    <definedName name="обеспечение_область">'Лист согласования'!$A$62:$N$68</definedName>
    <definedName name="объём">Расчёт[[#Totals],[19
Всего]]</definedName>
    <definedName name="отдел_закупок">Служебный!$S$2:$S$3</definedName>
    <definedName name="прибыль">Служебный!$J$2:$J$3</definedName>
    <definedName name="проектный_менеджер">'Лист согласования'!$I$73</definedName>
    <definedName name="размер_НДС">'Расчёт продажи'!$J$43</definedName>
    <definedName name="размер_НДС_закупки">Расчёт[[#Totals],[28
НДС закупки]]</definedName>
    <definedName name="расчёт_курса">Служебный!$B$2:$D$4</definedName>
    <definedName name="расчёт_НДС">Служебный!$F$2:$H$4</definedName>
    <definedName name="себестоимость">Расчёт[[#Totals],[11
Сумма Вход]]</definedName>
    <definedName name="служ_колонки">Служебный!$T$2:$T$6</definedName>
    <definedName name="способы_проведения_тендеров">Служебный!$R$2:$R$11</definedName>
    <definedName name="стоимость_доставки">Доставка[[#Totals],[Цена, руб. с НДС]]</definedName>
    <definedName name="тендер">'Лист согласования'!$E$48</definedName>
    <definedName name="тендер_область">'Лист согласования'!$A$47:$N$60</definedName>
    <definedName name="тип_доставки">Служебный!$M$2:$M$5</definedName>
    <definedName name="условия_выполнения">'Лист согласования'!$C$31:$M$33</definedName>
    <definedName name="условия_оплаты">'Лист согласования'!$C$20:$M$22</definedName>
  </definedNames>
  <calcPr calcId="162913" refMode="R1C1"/>
  <fileRecoveryPr autoRecover="0"/>
</workbook>
</file>

<file path=xl/calcChain.xml><?xml version="1.0" encoding="utf-8"?>
<calcChain xmlns="http://schemas.openxmlformats.org/spreadsheetml/2006/main">
  <c r="AB17" i="4" l="1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J17" i="4"/>
  <c r="J18" i="4"/>
  <c r="J19" i="4"/>
  <c r="J20" i="4"/>
  <c r="I20" i="4" s="1"/>
  <c r="J21" i="4"/>
  <c r="J22" i="4"/>
  <c r="J23" i="4"/>
  <c r="J24" i="4"/>
  <c r="I24" i="4" s="1"/>
  <c r="J25" i="4"/>
  <c r="J26" i="4"/>
  <c r="J27" i="4"/>
  <c r="J28" i="4"/>
  <c r="I28" i="4" s="1"/>
  <c r="J29" i="4"/>
  <c r="J30" i="4"/>
  <c r="J31" i="4"/>
  <c r="J32" i="4"/>
  <c r="I32" i="4" s="1"/>
  <c r="J33" i="4"/>
  <c r="J34" i="4"/>
  <c r="J35" i="4"/>
  <c r="J36" i="4"/>
  <c r="I36" i="4" s="1"/>
  <c r="J37" i="4"/>
  <c r="J38" i="4"/>
  <c r="J39" i="4"/>
  <c r="J40" i="4"/>
  <c r="I40" i="4" s="1"/>
  <c r="J41" i="4"/>
  <c r="J42" i="4"/>
  <c r="J43" i="4"/>
  <c r="I17" i="4"/>
  <c r="I18" i="4"/>
  <c r="I19" i="4"/>
  <c r="I21" i="4"/>
  <c r="I22" i="4"/>
  <c r="I23" i="4"/>
  <c r="I25" i="4"/>
  <c r="I26" i="4"/>
  <c r="I27" i="4"/>
  <c r="I29" i="4"/>
  <c r="I30" i="4"/>
  <c r="I31" i="4"/>
  <c r="I33" i="4"/>
  <c r="I34" i="4"/>
  <c r="I35" i="4"/>
  <c r="I37" i="4"/>
  <c r="I38" i="4"/>
  <c r="I39" i="4"/>
  <c r="I41" i="4"/>
  <c r="I42" i="4"/>
  <c r="I43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B43" i="3" l="1"/>
  <c r="C40" i="3"/>
  <c r="G40" i="3"/>
  <c r="B42" i="3"/>
  <c r="C39" i="3"/>
  <c r="B38" i="3"/>
  <c r="C33" i="3"/>
  <c r="C25" i="3"/>
  <c r="G25" i="3"/>
  <c r="F25" i="3"/>
  <c r="E28" i="3"/>
  <c r="E27" i="3"/>
  <c r="E26" i="3"/>
  <c r="B32" i="3"/>
  <c r="C21" i="3"/>
  <c r="J20" i="3"/>
  <c r="I20" i="3"/>
  <c r="H20" i="3"/>
  <c r="K22" i="3"/>
  <c r="K23" i="3"/>
  <c r="K29" i="3"/>
  <c r="K30" i="3"/>
  <c r="K31" i="3"/>
  <c r="K24" i="3"/>
  <c r="K25" i="3"/>
  <c r="K26" i="3"/>
  <c r="K27" i="3"/>
  <c r="K28" i="3"/>
  <c r="K40" i="3"/>
  <c r="K41" i="3"/>
  <c r="K34" i="3"/>
  <c r="K35" i="3"/>
  <c r="K36" i="3"/>
  <c r="K37" i="3"/>
  <c r="G22" i="3"/>
  <c r="G23" i="3"/>
  <c r="G29" i="3"/>
  <c r="G30" i="3"/>
  <c r="G31" i="3"/>
  <c r="G24" i="3"/>
  <c r="G34" i="3"/>
  <c r="G35" i="3"/>
  <c r="G36" i="3"/>
  <c r="G37" i="3"/>
  <c r="F22" i="3"/>
  <c r="F23" i="3"/>
  <c r="F29" i="3"/>
  <c r="F30" i="3"/>
  <c r="F31" i="3"/>
  <c r="F24" i="3"/>
  <c r="F40" i="3"/>
  <c r="F34" i="3"/>
  <c r="F35" i="3"/>
  <c r="F36" i="3"/>
  <c r="F37" i="3"/>
  <c r="E22" i="3"/>
  <c r="E23" i="3"/>
  <c r="E29" i="3"/>
  <c r="E30" i="3"/>
  <c r="E31" i="3"/>
  <c r="E24" i="3"/>
  <c r="E34" i="3"/>
  <c r="E35" i="3"/>
  <c r="E36" i="3"/>
  <c r="E37" i="3"/>
  <c r="D22" i="3"/>
  <c r="D23" i="3"/>
  <c r="D29" i="3"/>
  <c r="D30" i="3"/>
  <c r="D31" i="3"/>
  <c r="D24" i="3"/>
  <c r="D26" i="3"/>
  <c r="D27" i="3"/>
  <c r="D28" i="3"/>
  <c r="D41" i="3"/>
  <c r="D34" i="3"/>
  <c r="D35" i="3"/>
  <c r="D36" i="3"/>
  <c r="D37" i="3"/>
  <c r="C22" i="3"/>
  <c r="C23" i="3"/>
  <c r="C29" i="3"/>
  <c r="C30" i="3"/>
  <c r="C31" i="3"/>
  <c r="C24" i="3"/>
  <c r="C26" i="3"/>
  <c r="C27" i="3"/>
  <c r="C28" i="3"/>
  <c r="C41" i="3"/>
  <c r="C34" i="3"/>
  <c r="C35" i="3"/>
  <c r="C36" i="3"/>
  <c r="C37" i="3"/>
  <c r="E41" i="3" l="1"/>
  <c r="N2" i="5" l="1" a="1"/>
  <c r="N2" i="5" s="1"/>
  <c r="N5" i="5" l="1"/>
  <c r="N4" i="5"/>
  <c r="N11" i="5"/>
  <c r="N7" i="5"/>
  <c r="N3" i="5"/>
  <c r="N9" i="5"/>
  <c r="N8" i="5"/>
  <c r="N10" i="5"/>
  <c r="N6" i="5"/>
  <c r="K37" i="4" l="1"/>
  <c r="K38" i="4"/>
  <c r="K39" i="4"/>
  <c r="K40" i="4"/>
  <c r="K41" i="4"/>
  <c r="K42" i="4"/>
  <c r="K43" i="4"/>
  <c r="K17" i="4"/>
  <c r="K18" i="4"/>
  <c r="K19" i="4"/>
  <c r="K20" i="4"/>
  <c r="G13" i="4" l="1"/>
  <c r="D6" i="10" l="1"/>
  <c r="J13" i="4" l="1"/>
  <c r="F12" i="10" l="1"/>
  <c r="Q44" i="4" l="1"/>
  <c r="S44" i="4"/>
  <c r="D3" i="5" l="1"/>
  <c r="C4" i="5"/>
  <c r="B3" i="5"/>
  <c r="C2" i="5"/>
  <c r="F3" i="5"/>
  <c r="D2" i="5"/>
  <c r="B4" i="5"/>
  <c r="D1" i="5"/>
  <c r="C1" i="5"/>
  <c r="H1" i="5"/>
  <c r="G1" i="5"/>
  <c r="F1" i="5"/>
  <c r="B1" i="5"/>
  <c r="K28" i="4" l="1"/>
  <c r="K31" i="4"/>
  <c r="K26" i="4"/>
  <c r="K32" i="4"/>
  <c r="K30" i="4"/>
  <c r="K24" i="4"/>
  <c r="K27" i="4"/>
  <c r="K21" i="4"/>
  <c r="K33" i="4"/>
  <c r="K23" i="4"/>
  <c r="K36" i="4"/>
  <c r="K34" i="4"/>
  <c r="K22" i="4"/>
  <c r="K29" i="4"/>
  <c r="K35" i="4"/>
  <c r="K25" i="4"/>
  <c r="AB44" i="4" l="1"/>
  <c r="K44" i="4"/>
  <c r="B12" i="5" s="1"/>
  <c r="H44" i="4"/>
  <c r="H25" i="3" l="1"/>
  <c r="I25" i="3" s="1"/>
  <c r="J25" i="3" s="1"/>
  <c r="H30" i="3"/>
  <c r="I30" i="3" s="1"/>
  <c r="J30" i="3" s="1"/>
  <c r="H35" i="3"/>
  <c r="I35" i="3" s="1"/>
  <c r="J35" i="3" s="1"/>
  <c r="H24" i="3"/>
  <c r="I24" i="3" s="1"/>
  <c r="J24" i="3" s="1"/>
  <c r="H22" i="3"/>
  <c r="I22" i="3" s="1"/>
  <c r="H31" i="3"/>
  <c r="I31" i="3" s="1"/>
  <c r="J31" i="3" s="1"/>
  <c r="H36" i="3"/>
  <c r="I36" i="3" s="1"/>
  <c r="J36" i="3" s="1"/>
  <c r="H23" i="3"/>
  <c r="I23" i="3" s="1"/>
  <c r="J23" i="3" s="1"/>
  <c r="H37" i="3"/>
  <c r="I37" i="3" s="1"/>
  <c r="J37" i="3" s="1"/>
  <c r="H29" i="3"/>
  <c r="I29" i="3" s="1"/>
  <c r="J29" i="3" s="1"/>
  <c r="H34" i="3"/>
  <c r="I34" i="3" s="1"/>
  <c r="H40" i="3"/>
  <c r="I40" i="3" s="1"/>
  <c r="O2" i="5" a="1"/>
  <c r="O2" i="5" s="1"/>
  <c r="I42" i="3" l="1"/>
  <c r="J40" i="3"/>
  <c r="J42" i="3" s="1"/>
  <c r="I38" i="3"/>
  <c r="J34" i="3"/>
  <c r="J38" i="3" s="1"/>
  <c r="J22" i="3"/>
  <c r="J32" i="3" s="1"/>
  <c r="I32" i="3"/>
  <c r="O8" i="5"/>
  <c r="O4" i="5"/>
  <c r="O5" i="5"/>
  <c r="O11" i="5"/>
  <c r="O7" i="5"/>
  <c r="O3" i="5"/>
  <c r="O9" i="5"/>
  <c r="O10" i="5"/>
  <c r="O6" i="5"/>
  <c r="I43" i="3" l="1"/>
  <c r="J43" i="3"/>
  <c r="G51" i="4"/>
  <c r="C14" i="10" l="1"/>
  <c r="F49" i="4"/>
  <c r="F50" i="4"/>
  <c r="E49" i="4"/>
  <c r="E50" i="4"/>
  <c r="F51" i="4" l="1"/>
  <c r="E51" i="4"/>
  <c r="I44" i="4"/>
  <c r="F14" i="10" l="1"/>
  <c r="C12" i="10" l="1"/>
</calcChain>
</file>

<file path=xl/comments1.xml><?xml version="1.0" encoding="utf-8"?>
<comments xmlns="http://schemas.openxmlformats.org/spreadsheetml/2006/main">
  <authors>
    <author>Василий Ковальчук</author>
  </authors>
  <commentList>
    <comment ref="L4" authorId="0" shapeId="0">
      <text>
        <r>
          <rPr>
            <sz val="9"/>
            <color indexed="81"/>
            <rFont val="Tahoma"/>
            <family val="2"/>
            <charset val="204"/>
          </rPr>
          <t>Номер заказа в 1С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закупки"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Счёт, рамочный договор, договор подряда, договор услуг, NDA и т.д.)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продажи"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листов "Расчёт продажи" и "Расчёт закупки"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в месяцах</t>
        </r>
      </text>
    </comment>
    <comment ref="K41" authorId="0" shapeId="0">
      <text>
        <r>
          <rPr>
            <sz val="9"/>
            <color indexed="81"/>
            <rFont val="Tahoma"/>
            <family val="2"/>
            <charset val="204"/>
          </rPr>
          <t>в днях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</commentList>
</comments>
</file>

<file path=xl/comments2.xml><?xml version="1.0" encoding="utf-8"?>
<comments xmlns="http://schemas.openxmlformats.org/spreadsheetml/2006/main">
  <authors>
    <author>Василий Ковальчук</author>
  </authors>
  <commentList>
    <comment ref="D4" authorId="0" shapeId="0">
      <text>
        <r>
          <rPr>
            <sz val="9"/>
            <color indexed="81"/>
            <rFont val="Tahoma"/>
            <family val="2"/>
            <charset val="204"/>
          </rPr>
          <t>Параметр "Валюта расчёта" является глобальным для всего расчёта продажи и влияет на пересчёт цен в указанную валюту (столбцы 7-8 и 10-11 на этом листе); для пересчёта используются значения из таблицы "Расчётный курс". Изменение этого значение также корректирует шапку формируемого КП.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- красная стрелка вниз - занижен по сравнению с текущим курсом ЦБ более чем на 5%
- зелёная стрелка вверх - завышен по сравнению с текущим курсом ЦБ более чем на 5%</t>
        </r>
      </text>
    </comment>
    <comment ref="D5" authorId="0" shapeId="0">
      <text>
        <r>
          <rPr>
            <sz val="9"/>
            <color indexed="81"/>
            <rFont val="Tahoma"/>
            <family val="2"/>
            <charset val="204"/>
          </rPr>
          <t>Параметр "НДС расчёта" является глобальным и влияет на включение НДС в расчёт закупки (столбцы 7-8 и 8-10 на этом листе) и КП на листе "расчёт продажи". Изменение этого значение корректирует все ячейки столбца "Способ расчёта НДС" (столбец 12), кроме ячеек, в которых указано "н/о НДС", а также шапку формируемого КП.
Существуют три возможных значения: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"НДС" (столбец 12)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Исключение составляют те позиции, у которых в столбце "НДС" (столбец 12)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При попытке продать товар, закупленный с НДС, как права, т.е. не облагаемый НДС, соответствующая ячейка в столбце 12 будет выделена красным. Ячейка выделяется красным также в случае, если для строки с индексом наименования комплекта (оканчивающийся на ".0") не указано налогообложение, т.к. оно едино для всего комплекта и должно указываться именно в этой ячейке (все остальные игнорируются)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Включать ли транспортные расходы в состав расчёта продажи (КП)? Величина расходов считается равной сумме доставки из таблицы доставки (см. ниже).
Эта сумма равномерно распределяется между позициями, включаемыми в расчёт продажи, пропорционально доли цены с НДС одной позиции в себестоимости, и к ней добавляется указанная к товару маржа/наценка.
</t>
        </r>
        <r>
          <rPr>
            <b/>
            <sz val="9"/>
            <color indexed="81"/>
            <rFont val="Tahoma"/>
            <family val="2"/>
            <charset val="204"/>
          </rPr>
          <t>Если в расчёте не указано стоимость закупки, и расчёт ведётся от GPL, то включение в расчёт транспортных расходов невозможно (в ячейках цен будет указана ошибка)</t>
        </r>
      </text>
    </comment>
    <comment ref="G9" authorId="0" shapeId="0">
      <text>
        <r>
          <rPr>
            <sz val="9"/>
            <color indexed="81"/>
            <rFont val="Tahoma"/>
            <family val="2"/>
            <charset val="204"/>
          </rPr>
          <t>Курс автоматически обновляется при открытии книги</t>
        </r>
      </text>
    </comment>
    <comment ref="A13" authorId="0" shapeId="0">
      <text>
        <r>
          <rPr>
            <sz val="9"/>
            <color theme="1"/>
            <rFont val="Tahoma"/>
            <family val="2"/>
            <charset val="204"/>
          </rPr>
          <t xml:space="preserve">Номер индекса - основной инструмент в подготовке КП на листе "Расчёт продажи". Все строки с товарами без этого индекса игнорируются. Присваивать индексы следует руководствуюясь следующими правилами:
1. Товар без индекса не только не попадает в расчёт продажи, но также не учитывается в сумме входа (ячейка </t>
        </r>
        <r>
          <rPr>
            <i/>
            <u/>
            <sz val="9"/>
            <color theme="1"/>
            <rFont val="Tahoma"/>
            <family val="2"/>
            <charset val="204"/>
          </rPr>
          <t>себестоимость</t>
        </r>
        <r>
          <rPr>
            <sz val="9"/>
            <color theme="1"/>
            <rFont val="Tahoma"/>
            <family val="2"/>
            <charset val="204"/>
          </rPr>
          <t>, колонка 11) и сумма GPL (колонка 8).
2. Индексы корректируются - любая последовательность нецифровых символов между числами заменяется на точку, все нецифровые символы в начале и конце удаляются (например, "</t>
        </r>
        <r>
          <rPr>
            <b/>
            <sz val="9"/>
            <color theme="1"/>
            <rFont val="Tahoma"/>
            <family val="2"/>
            <charset val="204"/>
          </rPr>
          <t>xx10xx3x5"</t>
        </r>
        <r>
          <rPr>
            <sz val="9"/>
            <color theme="1"/>
            <rFont val="Tahoma"/>
            <family val="2"/>
            <charset val="204"/>
          </rPr>
          <t xml:space="preserve"> -&gt; "</t>
        </r>
        <r>
          <rPr>
            <b/>
            <sz val="9"/>
            <color theme="1"/>
            <rFont val="Tahoma"/>
            <family val="2"/>
            <charset val="204"/>
          </rPr>
          <t>10.3.5"</t>
        </r>
        <r>
          <rPr>
            <sz val="9"/>
            <color theme="1"/>
            <rFont val="Tahoma"/>
            <family val="2"/>
            <charset val="204"/>
          </rPr>
          <t>). Таким образом индекс разделяется на</t>
        </r>
        <r>
          <rPr>
            <b/>
            <sz val="9"/>
            <color theme="1"/>
            <rFont val="Tahoma"/>
            <family val="2"/>
            <charset val="204"/>
          </rPr>
          <t xml:space="preserve"> группы чисел</t>
        </r>
        <r>
          <rPr>
            <sz val="9"/>
            <color theme="1"/>
            <rFont val="Tahoma"/>
            <family val="2"/>
            <charset val="204"/>
          </rPr>
          <t xml:space="preserve">; максимальное число таких групп в данной версии файла не может превышать трёх.
3. В расчёте продажи исправляется последовательность индексов. Например,
</t>
        </r>
        <r>
          <rPr>
            <b/>
            <sz val="9"/>
            <color theme="1"/>
            <rFont val="Tahoma"/>
            <family val="2"/>
            <charset val="204"/>
          </rPr>
          <t xml:space="preserve">10.3.5            3.1.1
8.1                  1.1
8.0                  1.0
9                </t>
        </r>
        <r>
          <rPr>
            <sz val="9"/>
            <color theme="1"/>
            <rFont val="Tahoma"/>
            <family val="2"/>
            <charset val="204"/>
          </rPr>
          <t>-&gt;</t>
        </r>
        <r>
          <rPr>
            <b/>
            <sz val="9"/>
            <color theme="1"/>
            <rFont val="Tahoma"/>
            <family val="2"/>
            <charset val="204"/>
          </rPr>
          <t xml:space="preserve">  2
10.10.10       3.2.2
10.10.8         3.2.1
9.101             2.1
</t>
        </r>
        <r>
          <rPr>
            <sz val="9"/>
            <color theme="1"/>
            <rFont val="Tahoma"/>
            <family val="2"/>
            <charset val="204"/>
          </rPr>
          <t>4. Одинаковые индексы у товаров не исправляются и не обрабатываются никаким особым образом
5. Товары в расчёте продажи сортируются в соответствии с полученными в п.3 индексами. Отсюда следует, что порядок строк в расчёте закупки не важен - имеют значение только индексы.
6. Если после исправлений, перечисленных в п.2 и 3, найден индекс, состоящий из одной группы чесел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 из примера в п.3), </t>
        </r>
        <r>
          <rPr>
            <b/>
            <sz val="9"/>
            <color theme="1"/>
            <rFont val="Tahoma"/>
            <family val="2"/>
            <charset val="204"/>
          </rPr>
          <t xml:space="preserve">а также </t>
        </r>
        <r>
          <rPr>
            <sz val="9"/>
            <color theme="1"/>
            <rFont val="Tahoma"/>
            <family val="2"/>
            <charset val="204"/>
          </rPr>
          <t>в этой таблице присутствуют другие индексы, состоящие из нескольких групп чесел, но с тем же числом в первой группе ("</t>
        </r>
        <r>
          <rPr>
            <b/>
            <sz val="9"/>
            <color theme="1"/>
            <rFont val="Tahoma"/>
            <family val="2"/>
            <charset val="204"/>
          </rPr>
          <t>2.1</t>
        </r>
        <r>
          <rPr>
            <sz val="9"/>
            <color theme="1"/>
            <rFont val="Tahoma"/>
            <family val="2"/>
            <charset val="204"/>
          </rPr>
          <t>" из примера в п.3), то в расчёте продажи все товары с этими индексами объединяются в подгруппу товаров со своей строкой подытогов. Заголовком такой подгруппы будет выступать наименование товара с индексом, состоящим из одной группы чисел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"). Если у нескольких товаров одинаковый индекс заголовка, то заголовком подгруппы будет считать только товар с одним из них, а другой будет входить эту подгруппу.
6.1. </t>
        </r>
        <r>
          <rPr>
            <b/>
            <sz val="9"/>
            <color theme="1"/>
            <rFont val="Tahoma"/>
            <family val="2"/>
            <charset val="204"/>
          </rPr>
          <t>Если у товара с индексом заголовка введена стоимость, то в расчёте КП она будет игнорироваться, но по-прежнему влиять на себестоимость!</t>
        </r>
        <r>
          <rPr>
            <sz val="9"/>
            <color theme="1"/>
            <rFont val="Tahoma"/>
            <family val="2"/>
            <charset val="204"/>
          </rPr>
          <t xml:space="preserve"> Удаляйте стоимость у заголовков перед формированием расчёта.
7. Если найдено два и более индекса товаров, одна или две из числовых групп которых равны, и последняя числовая группа одного из этих индексов состоит из нулей, то товары с такими индексами объединяются в комплект, а наименование товара с индексом с нулём в последней группе служит для наименования всего комплекта. Например, индексы "</t>
        </r>
        <r>
          <rPr>
            <b/>
            <sz val="9"/>
            <color theme="1"/>
            <rFont val="Tahoma"/>
            <family val="2"/>
            <charset val="204"/>
          </rPr>
          <t>1.0</t>
        </r>
        <r>
          <rPr>
            <sz val="9"/>
            <color theme="1"/>
            <rFont val="Tahoma"/>
            <family val="2"/>
            <charset val="204"/>
          </rPr>
          <t>" и "</t>
        </r>
        <r>
          <rPr>
            <b/>
            <sz val="9"/>
            <color theme="1"/>
            <rFont val="Tahoma"/>
            <family val="2"/>
            <charset val="204"/>
          </rPr>
          <t>1.1</t>
        </r>
        <r>
          <rPr>
            <sz val="9"/>
            <color theme="1"/>
            <rFont val="Tahoma"/>
            <family val="2"/>
            <charset val="204"/>
          </rPr>
          <t xml:space="preserve">" из п.3
7.1. Количество комплектов вычисляется двумя способами:
      - если у товара с индексом наименования комплекта не указано кол-во, то оно вычисляется как Наибольший Общий Делитель от кол-ва всех составных товаров комплекта. Например, если мы делаем комплект из товаров с количествами 6, 9 и 15, то количество комплектов будет равно 3.
      - если у товара с индексом наименования комплекта указано кол-во, то количество комплектов принудительно принимается равным ему.
7.2. </t>
        </r>
        <r>
          <rPr>
            <b/>
            <sz val="9"/>
            <color theme="1"/>
            <rFont val="Tahoma"/>
            <family val="2"/>
            <charset val="204"/>
          </rPr>
          <t>Цена товара с индексом наименования комплекта учитывается в расчёте продажи и расчёте закупки только в в случае принудительного указания количества комплектов, будьте внимательны!</t>
        </r>
        <r>
          <rPr>
            <sz val="9"/>
            <color theme="1"/>
            <rFont val="Tahoma"/>
            <family val="2"/>
            <charset val="204"/>
          </rPr>
          <t xml:space="preserve">
7.3. Наименования товаров в составе комплектов дополняются их количеством в комплекте, которое вычисляется делением соответствующего товара на кол-во комплектов. Если количество комплектов выбрано принудительно, то могут возникнуть нежелательные дроби.
8. Подгруппы товаров и комплекты автоматически объединяются в группы строк Excel, сворачивать и разворачивать которые можно в левой части окна приложения.</t>
        </r>
      </text>
    </comment>
    <comment ref="B13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</t>
        </r>
      </text>
    </comment>
    <comment ref="C13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изменений.
Кнопка заменяет кириллические символы на схожие по написанию латинские</t>
        </r>
      </text>
    </comment>
    <comment ref="D13" authorId="0" shapeId="0">
      <text>
        <r>
          <rPr>
            <sz val="9"/>
            <color indexed="81"/>
            <rFont val="Tahoma"/>
            <family val="2"/>
            <charset val="204"/>
          </rPr>
          <t>Наименования товаров, которые должны будут составлять комплект, дополняются их количеством в комплекте. Во всех остальных случаях наименования переносятся в расчёт продажи без изменений.
Подробнее см. в примечании к колонке "№"
Кнопка удалет различные непечатные символы из строки, включая символы новой строки, а также сокращает любую последовательность пробелов до одного.</t>
        </r>
      </text>
    </comment>
    <comment ref="E13" authorId="0" shapeId="0">
      <text>
        <r>
          <rPr>
            <sz val="9"/>
            <color indexed="81"/>
            <rFont val="Tahoma"/>
            <family val="2"/>
            <charset val="204"/>
          </rPr>
          <t>Если указано количество товара с индексом заголовка подгруппы, то оно удаляется из расчёта продажи. 
Подробнее см. в примечании к колонке "№"</t>
        </r>
      </text>
    </comment>
    <comment ref="F13" authorId="0" shapeId="0">
      <text>
        <r>
          <rPr>
            <sz val="9"/>
            <color indexed="81"/>
            <rFont val="Tahoma"/>
            <family val="2"/>
            <charset val="204"/>
          </rPr>
          <t xml:space="preserve">Ед.изм. товаров, которые должны будут составлять комплект, заменяются на единую для всего комплекта единицу - компл. Во всех остальных случаях они переносятся в расчёт продажи без изменений.
Подробнее см. в примечании к колонке "№"
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sz val="9"/>
            <color indexed="81"/>
            <rFont val="Tahoma"/>
            <family val="2"/>
            <charset val="204"/>
          </rPr>
          <t xml:space="preserve"> 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sz val="9"/>
            <color indexed="81"/>
            <rFont val="Tahoma"/>
            <family val="2"/>
            <charset val="204"/>
          </rPr>
          <t xml:space="preserve"> 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I13" authorId="0" shapeId="0">
      <text>
        <r>
          <rPr>
            <sz val="9"/>
            <color indexed="81"/>
            <rFont val="Tahoma"/>
            <family val="2"/>
            <charset val="204"/>
          </rPr>
          <t>Процент скидки от GPL/розницы
При попытке внести изменения в формулу, она будет автоматически восстановлена.</t>
        </r>
      </text>
    </comment>
    <comment ref="J13" authorId="0" shapeId="0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T13" authorId="0" shapeId="0">
      <text>
        <r>
          <rPr>
            <sz val="9"/>
            <color indexed="81"/>
            <rFont val="Tahoma"/>
            <family val="2"/>
            <charset val="204"/>
          </rPr>
          <t xml:space="preserve">Отсутствие указания на валюту скрывает значение цен GPL/входа, а также обнуляет расчёт GPL и входа в валюте расчёта (столбцы 8 и 11)
При вставке в колонке GPL/вход цены автоматически исправляются - удаляются нецифровые символы, а последняя точка и запятая в строке принимается как десятичный разделитель. Например, "1,200.45 долларов США" преобразуется в число "1200,45". </t>
        </r>
        <r>
          <rPr>
            <b/>
            <sz val="9"/>
            <color indexed="81"/>
            <rFont val="Tahoma"/>
            <family val="2"/>
            <charset val="204"/>
          </rPr>
          <t>С другой стороны, "1,200.45 руб." преобразуется в "120045", потому что примет за десятичный разделитель точку в сокращении "руб.".</t>
        </r>
        <r>
          <rPr>
            <sz val="9"/>
            <color indexed="81"/>
            <rFont val="Tahoma"/>
            <family val="2"/>
            <charset val="204"/>
          </rPr>
          <t xml:space="preserve"> </t>
        </r>
      </text>
    </comment>
    <comment ref="X14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НДС закупки обнуляет расчёт GPL и входа в валюте расчёта (столбцы 8 и 11)</t>
        </r>
      </text>
    </comment>
    <comment ref="L15" authorId="0" shapeId="0">
      <text>
        <r>
          <rPr>
            <sz val="9"/>
            <color indexed="81"/>
            <rFont val="Tahoma"/>
            <family val="2"/>
            <charset val="204"/>
          </rPr>
          <t>Определяет способ налогообложения и вариант отображения НДС у каждой позиции в КП. 
Существуют три возможных значения:
1. "с НДС" - продажа облагается НДС и цена продажи включает НДС 18%. Сумма НДС вычисляется по формуле ЦЕНА_ПРОДАЖИ/1,18*0,18. Исключение составляют те позиции, у которых в столбце "НДС" (столбец 12) явным образом указано "н/о НДС", а значит НДС будет равен нулю.
2. "без НДС" - продажа облагается НДС, но цена продажи не включает его. Сумма НДС будет вычислена по формуле ЦЕНА_ПРОДАЖИ*0,18. Исключение составляют те позиции, у которых в столбце "НДС" (столбец 12) явным образом указано "н/о НДС", а значит НДС будет равен нулю.
3. "н/о НДС" - продажа не облагается НДС. Если выбран этот вариант, то в КП допускается включать только права на использование ПО, которые не облагаются НДС.
Ячейка выделяется красным в двух случаях:
1. При попытке продать товар, закупленный с НДС, как права, т.е. указав "н/о НДС"
2. Если для строки с индексом наименования комплекта (оканчивающийся на ".0") не указано налогообложение, т.к. оно едино для всего комплекта и должно указываться именно в этой ячейке (все остальные игнорируются)</t>
        </r>
      </text>
    </comment>
    <comment ref="W17" authorId="0" shapeId="0">
      <text>
        <r>
          <rPr>
            <sz val="9"/>
            <color indexed="81"/>
            <rFont val="Tahoma"/>
            <family val="2"/>
            <charset val="204"/>
          </rPr>
          <t>Этого товара не будет в КП, т.к. у него нет индекса</t>
        </r>
      </text>
    </comment>
    <comment ref="W18" authorId="0" shapeId="0">
      <text>
        <r>
          <rPr>
            <sz val="9"/>
            <color indexed="81"/>
            <rFont val="Tahoma"/>
            <family val="2"/>
            <charset val="204"/>
          </rPr>
          <t>Эта позиция будет заголовком, т.к. у неё индекс состоит из одного числа "1" и в таблице найдены индексы, составляющие вместе подгруппу - "1.1", "1.2", "1.4.0" и т.д.</t>
        </r>
      </text>
    </comment>
    <comment ref="W19" authorId="0" shapeId="0">
      <text>
        <r>
          <rPr>
            <sz val="9"/>
            <color indexed="81"/>
            <rFont val="Tahoma"/>
            <family val="2"/>
            <charset val="204"/>
          </rPr>
          <t>Как можно заметить, заголовки выделяются полужирным шрифтом</t>
        </r>
      </text>
    </comment>
    <comment ref="W20" authorId="0" shapeId="0">
      <text>
        <r>
          <rPr>
            <sz val="9"/>
            <color indexed="81"/>
            <rFont val="Tahoma"/>
            <family val="2"/>
            <charset val="204"/>
          </rPr>
          <t xml:space="preserve">Если у заголовка вычислена цена продажи, т.е. указана цена GPL/закупки и другие параметры расчёта прибыли, то ячейки суммы продажи и закупки обнуляются, а сами они выделяются красным. Это сделано потому, что заголовки не участвуют в формировании КП, их нельзя продать. </t>
        </r>
      </text>
    </comment>
    <comment ref="W21" authorId="0" shapeId="0">
      <text>
        <r>
          <rPr>
            <sz val="9"/>
            <color indexed="81"/>
            <rFont val="Tahoma"/>
            <family val="2"/>
            <charset val="204"/>
          </rPr>
          <t>Этот товар входит в подгруппу "1"</t>
        </r>
      </text>
    </comment>
    <comment ref="W22" authorId="0" shapeId="0">
      <text>
        <r>
          <rPr>
            <sz val="9"/>
            <color indexed="81"/>
            <rFont val="Tahoma"/>
            <family val="2"/>
            <charset val="204"/>
          </rPr>
          <t>Цена закупки этого товара указана "без НДС", а значит при расчёте продажи к нему будет автоматически добавлено 18%</t>
        </r>
      </text>
    </comment>
    <comment ref="W23" authorId="0" shapeId="0">
      <text>
        <r>
          <rPr>
            <sz val="9"/>
            <color indexed="81"/>
            <rFont val="Tahoma"/>
            <family val="2"/>
            <charset val="204"/>
          </rPr>
          <t>Этот товар не облагается НДС при закупке, и продаём мы его также - н/о НДС, поэтому НДС в колонке 9 равен нулю</t>
        </r>
      </text>
    </comment>
    <comment ref="W24" authorId="0" shapeId="0">
      <text>
        <r>
          <rPr>
            <sz val="9"/>
            <color indexed="81"/>
            <rFont val="Tahoma"/>
            <family val="2"/>
            <charset val="204"/>
          </rPr>
          <t>Но можем продать его же и с НДС. Цена закупки увеличится, но перерасчёт произойдёт автоматически, дополнительных манипуляций не потребуется</t>
        </r>
      </text>
    </comment>
    <comment ref="W25" authorId="0" shapeId="0">
      <text>
        <r>
          <rPr>
            <sz val="9"/>
            <color indexed="81"/>
            <rFont val="Tahoma"/>
            <family val="2"/>
            <charset val="204"/>
          </rPr>
          <t>А продать товар купленный с НДС как лицензии н/о НДС - нельзя, поэтому ячейка в столбце 10 выделена красным.</t>
        </r>
      </text>
    </comment>
    <comment ref="W26" authorId="0" shapeId="0">
      <text>
        <r>
          <rPr>
            <sz val="9"/>
            <color indexed="81"/>
            <rFont val="Tahoma"/>
            <family val="2"/>
            <charset val="204"/>
          </rPr>
          <t>В КП этот товар будет идти сразу после индекса "1.2" - строки сортируются по значению индексов</t>
        </r>
      </text>
    </comment>
    <comment ref="W27" authorId="0" shapeId="0">
      <text>
        <r>
          <rPr>
            <sz val="9"/>
            <color indexed="81"/>
            <rFont val="Tahoma"/>
            <family val="2"/>
            <charset val="204"/>
          </rPr>
          <t>Это заголовок комплекта (сборки), потому что индекс оканчивается на ".0". Наименование таких позиций выделяется курсивом</t>
        </r>
      </text>
    </comment>
    <comment ref="W28" authorId="0" shapeId="0">
      <text>
        <r>
          <rPr>
            <sz val="9"/>
            <color indexed="81"/>
            <rFont val="Tahoma"/>
            <family val="2"/>
            <charset val="204"/>
          </rPr>
          <t>В сборку входят все товары, у которых индексы без последней числовой группы равны и найден заголовок комплекта. Например - "1.4.0", "1.4.1", "1.4.2", "1.4.4" и т.д.</t>
        </r>
      </text>
    </comment>
    <comment ref="W29" authorId="0" shapeId="0">
      <text>
        <r>
          <rPr>
            <sz val="9"/>
            <color indexed="81"/>
            <rFont val="Tahoma"/>
            <family val="2"/>
            <charset val="204"/>
          </rPr>
          <t>Количество комплектов берётся равным количеству, указанным в заголовке комплекта. Если ячейка с количеством пуста, то макрос вычисляет наибольший общий делитель всех товаров в комплекте</t>
        </r>
      </text>
    </comment>
    <comment ref="W30" authorId="0" shapeId="0">
      <text>
        <r>
          <rPr>
            <sz val="9"/>
            <color indexed="81"/>
            <rFont val="Tahoma"/>
            <family val="2"/>
            <charset val="204"/>
          </rPr>
          <t>У этой сборки НОД равен двум, а значит количество комплектов также приравнивается к двум</t>
        </r>
      </text>
    </comment>
    <comment ref="W31" authorId="0" shapeId="0">
      <text>
        <r>
          <rPr>
            <sz val="9"/>
            <color indexed="81"/>
            <rFont val="Tahoma"/>
            <family val="2"/>
            <charset val="204"/>
          </rPr>
          <t>Налогообложение всей сборки устанавливается у её заголовка. Налогообложение товаров в её составе должно быть одинаковым, поэтому указание разных способов расчёта НДС у разных товаров приведёт к неправильному расчёту, будьте внимательны.</t>
        </r>
      </text>
    </comment>
    <comment ref="W32" authorId="0" shapeId="0">
      <text>
        <r>
          <rPr>
            <sz val="9"/>
            <color indexed="81"/>
            <rFont val="Tahoma"/>
            <family val="2"/>
            <charset val="204"/>
          </rPr>
          <t>Т.к. у заголовка этой сборки не был указан способ расчёта НДС, то ячейка в столбце 10 выделена красным, а НДС всей сборки будет равен нулю (см. примечание на листе "КП 23.09.2017 21.06.37")</t>
        </r>
      </text>
    </comment>
    <comment ref="W33" authorId="0" shapeId="0">
      <text>
        <r>
          <rPr>
            <sz val="9"/>
            <color indexed="81"/>
            <rFont val="Tahoma"/>
            <family val="2"/>
            <charset val="204"/>
          </rPr>
          <t>У этого товара и товара строкой ниже указан одинаковый индекс, что является ошибкой,</t>
        </r>
      </text>
    </comment>
    <comment ref="W34" authorId="0" shapeId="0">
      <text>
        <r>
          <rPr>
            <sz val="9"/>
            <color indexed="81"/>
            <rFont val="Tahoma"/>
            <family val="2"/>
            <charset val="204"/>
          </rPr>
          <t>т.к. макрос не сможет определить какая из позиций следует первой. Таких ситуаций следует избегать. Для удобства ячейки с повторяющимися индексами выделяются красным.</t>
        </r>
      </text>
    </comment>
    <comment ref="W35" authorId="0" shapeId="0">
      <text>
        <r>
          <rPr>
            <sz val="9"/>
            <color indexed="81"/>
            <rFont val="Tahoma"/>
            <family val="2"/>
            <charset val="204"/>
          </rPr>
          <t>У этого товара очень большая маржа (так держать!), что легко заметить по гистограмме в столбце 14, но т.к. прибыль рассчитывается как скидка от GPL, то в столбце 13 гистограмма будет в красной зоне. Это нормально, гистограмма в столбце 13 нужна только для удобства выделения ячеек с различными значениями процента</t>
        </r>
      </text>
    </comment>
    <comment ref="W36" authorId="0" shapeId="0">
      <text>
        <r>
          <rPr>
            <sz val="9"/>
            <color indexed="81"/>
            <rFont val="Tahoma"/>
            <family val="2"/>
            <charset val="204"/>
          </rPr>
          <t>Возможны небольшие ошибки округления.
C'est la vie</t>
        </r>
      </text>
    </comment>
    <comment ref="B44" authorId="0" shapeId="0">
      <text>
        <r>
          <rPr>
            <sz val="9"/>
            <color indexed="81"/>
            <rFont val="Tahoma"/>
            <family val="2"/>
            <charset val="204"/>
          </rPr>
          <t>Добавление строк в таблицу расчёта закупки</t>
        </r>
      </text>
    </comment>
    <comment ref="H44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Транспортные расходы не добавляются.</t>
        </r>
      </text>
    </comment>
    <comment ref="K44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Транспортные расходы не добавляются.</t>
        </r>
      </text>
    </comment>
    <comment ref="A47" authorId="0" shapeId="0">
      <text>
        <r>
          <rPr>
            <sz val="9"/>
            <color indexed="81"/>
            <rFont val="Tahoma"/>
            <family val="2"/>
            <charset val="204"/>
          </rPr>
          <t xml:space="preserve">Индикатор включения соответствующей строки расчёта доставки в расчёт продажи. Если глобальный индикатор </t>
        </r>
        <r>
          <rPr>
            <i/>
            <u/>
            <sz val="9"/>
            <color indexed="81"/>
            <rFont val="Tahoma"/>
            <family val="2"/>
            <charset val="204"/>
          </rPr>
          <t>включить транспортные расходы</t>
        </r>
        <r>
          <rPr>
            <sz val="9"/>
            <color indexed="81"/>
            <rFont val="Tahoma"/>
            <family val="2"/>
            <charset val="204"/>
          </rPr>
          <t xml:space="preserve"> установлен в значении "нет", то стоимость доставки вообще не включается в расчёт продажи.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Цена вносится только в рублях с НДС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за доставку с индикатором "Вкл. в расчёт" в первой колонке таблицы</t>
        </r>
      </text>
    </comment>
  </commentList>
</comments>
</file>

<file path=xl/connections.xml><?xml version="1.0" encoding="utf-8"?>
<connections xmlns="http://schemas.openxmlformats.org/spreadsheetml/2006/main">
  <connection id="1" name="XML_daily_eng" type="4" refreshedVersion="0" background="1">
    <webPr xml="1" sourceData="1" url="http://www.cbr.ru/scripts/XML_daily_eng.asp" htmlTables="1" htmlFormat="all"/>
  </connection>
  <connection id="2" name="XML_daily_eng.asp" type="4" refreshedVersion="0" background="1">
    <webPr xml="1" sourceData="1" url="D:\Downloads\Temp\XML_daily_eng.asp.xml" htmlTables="1" htmlFormat="all"/>
  </connection>
</connections>
</file>

<file path=xl/sharedStrings.xml><?xml version="1.0" encoding="utf-8"?>
<sst xmlns="http://schemas.openxmlformats.org/spreadsheetml/2006/main" count="479" uniqueCount="297">
  <si>
    <t>Курс $</t>
  </si>
  <si>
    <t>Курс €</t>
  </si>
  <si>
    <t>№</t>
  </si>
  <si>
    <t>Производитель</t>
  </si>
  <si>
    <t>P/N</t>
  </si>
  <si>
    <t>Наименование</t>
  </si>
  <si>
    <t>Кол-во</t>
  </si>
  <si>
    <t>Скидка %</t>
  </si>
  <si>
    <t>Поставщик</t>
  </si>
  <si>
    <t>Примечание</t>
  </si>
  <si>
    <t>Итого:</t>
  </si>
  <si>
    <t>ВНУТРЕННЯЯ СПЕЦИФИКАЦИЯ</t>
  </si>
  <si>
    <t>Адрес доставки</t>
  </si>
  <si>
    <t>Срок доставки</t>
  </si>
  <si>
    <t>Транспортная компания</t>
  </si>
  <si>
    <t>Вес, в кг</t>
  </si>
  <si>
    <t>Единицы</t>
  </si>
  <si>
    <t>Всего</t>
  </si>
  <si>
    <t>EUR</t>
  </si>
  <si>
    <t>Расчетный курс</t>
  </si>
  <si>
    <t>RUR</t>
  </si>
  <si>
    <t>USD</t>
  </si>
  <si>
    <t>Цена за единицу</t>
  </si>
  <si>
    <t>Сумма</t>
  </si>
  <si>
    <t>Валюта GPL</t>
  </si>
  <si>
    <t>GPL в валюте</t>
  </si>
  <si>
    <t>Валюта входа</t>
  </si>
  <si>
    <t>Вход в валюте</t>
  </si>
  <si>
    <t>Цена</t>
  </si>
  <si>
    <t>шт</t>
  </si>
  <si>
    <t>с НДС</t>
  </si>
  <si>
    <t>без НДС</t>
  </si>
  <si>
    <t>н/о НДС</t>
  </si>
  <si>
    <t>валюта</t>
  </si>
  <si>
    <t>НДС</t>
  </si>
  <si>
    <t>ед_изм</t>
  </si>
  <si>
    <t>чел. ч</t>
  </si>
  <si>
    <t>чел. дн</t>
  </si>
  <si>
    <t>чел</t>
  </si>
  <si>
    <t>упак</t>
  </si>
  <si>
    <t>м2</t>
  </si>
  <si>
    <t>м</t>
  </si>
  <si>
    <t>компл</t>
  </si>
  <si>
    <t>3
p/n</t>
  </si>
  <si>
    <t>2
Производитель</t>
  </si>
  <si>
    <t>1
№</t>
  </si>
  <si>
    <t>5
Кол-во</t>
  </si>
  <si>
    <t>6
Ед.изм.</t>
  </si>
  <si>
    <t>7
Цена GPL</t>
  </si>
  <si>
    <t>8
Сумма GPL</t>
  </si>
  <si>
    <t>9
Скидка</t>
  </si>
  <si>
    <t>10
Цена Вход</t>
  </si>
  <si>
    <t>11
Сумма Вход</t>
  </si>
  <si>
    <t>4 
Наименование</t>
  </si>
  <si>
    <t>Дата и время рассмотрения заявок:</t>
  </si>
  <si>
    <t>Дата и время окончания подачи заявок:</t>
  </si>
  <si>
    <t>Дата и время подведения итогов:</t>
  </si>
  <si>
    <t>Общий вес, кг</t>
  </si>
  <si>
    <t>Способ доставки</t>
  </si>
  <si>
    <t>авиа</t>
  </si>
  <si>
    <t>авто</t>
  </si>
  <si>
    <t>ж/д</t>
  </si>
  <si>
    <t>тип_доставки</t>
  </si>
  <si>
    <t>Цена, руб. с НДС</t>
  </si>
  <si>
    <t>Дата и время проведение торгов:</t>
  </si>
  <si>
    <t>динамика_курса_USD</t>
  </si>
  <si>
    <t>динамика_курса_EUR</t>
  </si>
  <si>
    <t>море</t>
  </si>
  <si>
    <t>Валюта расчёта</t>
  </si>
  <si>
    <t>НДС расчёта</t>
  </si>
  <si>
    <t>да</t>
  </si>
  <si>
    <t>нет</t>
  </si>
  <si>
    <t>маржа</t>
  </si>
  <si>
    <t>наценка</t>
  </si>
  <si>
    <t>прибыль</t>
  </si>
  <si>
    <t>Лист согласования</t>
  </si>
  <si>
    <t>от</t>
  </si>
  <si>
    <t>Заказ клиента №</t>
  </si>
  <si>
    <t>Контрагент</t>
  </si>
  <si>
    <t xml:space="preserve">Проектный менеджер </t>
  </si>
  <si>
    <t>Условия оплаты</t>
  </si>
  <si>
    <t>Арбитражный суд</t>
  </si>
  <si>
    <t>СОГЛАСОВАНО</t>
  </si>
  <si>
    <t>Руководитель департамента закупок</t>
  </si>
  <si>
    <t>Руководитель департамента продаж</t>
  </si>
  <si>
    <t>Руководитель департамента системной интеграции</t>
  </si>
  <si>
    <t>Заместитель генерального директора</t>
  </si>
  <si>
    <t>Главный бухгалтер</t>
  </si>
  <si>
    <t>Вкл. в расчёт</t>
  </si>
  <si>
    <t>подпись</t>
  </si>
  <si>
    <t>менеджеры</t>
  </si>
  <si>
    <t>Ковальчук В.Ю.</t>
  </si>
  <si>
    <t>Левина Л.Б.</t>
  </si>
  <si>
    <t>Дамашов А.С.</t>
  </si>
  <si>
    <t>Канский А.Н.</t>
  </si>
  <si>
    <t>Маржа</t>
  </si>
  <si>
    <t>Обеспечение контракта</t>
  </si>
  <si>
    <t>Вид обеспечения</t>
  </si>
  <si>
    <t>Срок обеспечения</t>
  </si>
  <si>
    <t>Тендер</t>
  </si>
  <si>
    <t>Номер извещения</t>
  </si>
  <si>
    <t>Ссылка</t>
  </si>
  <si>
    <t>Закон</t>
  </si>
  <si>
    <t>способы_проведения_тендеров</t>
  </si>
  <si>
    <t>открытый конкурс</t>
  </si>
  <si>
    <t>конкурс с ограниченным участием</t>
  </si>
  <si>
    <t>двухэтапный конкурс</t>
  </si>
  <si>
    <t>закрытый конкурс</t>
  </si>
  <si>
    <t>закрытый конкурс с ограниченным участием</t>
  </si>
  <si>
    <t>закрытый двухэтапный конкурс</t>
  </si>
  <si>
    <t>открытый аукцион</t>
  </si>
  <si>
    <t>закрытый аукцион</t>
  </si>
  <si>
    <t>запрос предложений</t>
  </si>
  <si>
    <t>Способ проведения</t>
  </si>
  <si>
    <t>44ЦБ-000</t>
  </si>
  <si>
    <t>Пени</t>
  </si>
  <si>
    <t>Этап</t>
  </si>
  <si>
    <t>Тип</t>
  </si>
  <si>
    <t>Тип соглашения и предмет договора:</t>
  </si>
  <si>
    <t>Срок</t>
  </si>
  <si>
    <t>С момента</t>
  </si>
  <si>
    <t>Ограничение пени</t>
  </si>
  <si>
    <t xml:space="preserve">Условия доставки/выполнения работ </t>
  </si>
  <si>
    <t>Город</t>
  </si>
  <si>
    <t>Срок гарантии</t>
  </si>
  <si>
    <t>Гарантия</t>
  </si>
  <si>
    <t>Срок замены</t>
  </si>
  <si>
    <t>Прочее:</t>
  </si>
  <si>
    <t xml:space="preserve">Сумма </t>
  </si>
  <si>
    <t>Муравьев Д.C.</t>
  </si>
  <si>
    <t>подпись, дата</t>
  </si>
  <si>
    <t>валюта_кп</t>
  </si>
  <si>
    <t>рублей</t>
  </si>
  <si>
    <t>долларов США</t>
  </si>
  <si>
    <t>eвро</t>
  </si>
  <si>
    <t>Доля</t>
  </si>
  <si>
    <t>Включить транспортные расходы</t>
  </si>
  <si>
    <t>отдел_закупок</t>
  </si>
  <si>
    <t>Срок доставки на склад 4х4</t>
  </si>
  <si>
    <t>ЛЕГЕНДА</t>
  </si>
  <si>
    <t>заполняется проектным менеджером -&gt;</t>
  </si>
  <si>
    <t>заполняется менеджером департамента закупок - &gt;</t>
  </si>
  <si>
    <t>может заполняться сотрудниками любого отдела - &gt;</t>
  </si>
  <si>
    <t>Желаемый срок расчёта</t>
  </si>
  <si>
    <t>Бюджет заказчика</t>
  </si>
  <si>
    <t>Срок действия цены</t>
  </si>
  <si>
    <t>Рассчитал</t>
  </si>
  <si>
    <t>НДС закупки</t>
  </si>
  <si>
    <t>ГК РФ</t>
  </si>
  <si>
    <t>Васильев С.И.</t>
  </si>
  <si>
    <t>Никонов А.С.</t>
  </si>
  <si>
    <t>Нисенбаум А.А.</t>
  </si>
  <si>
    <t>Спивак С.А.</t>
  </si>
  <si>
    <t>v0.98</t>
  </si>
  <si>
    <t>Исправлена ошибка адресации в формулах столбцов таблице расчёта продажи</t>
  </si>
  <si>
    <t>Исправлено форматирование столбца "Срок доставки на склад 4х4" в таблице расчёта закупки</t>
  </si>
  <si>
    <t>запрос котировок/цен</t>
  </si>
  <si>
    <t>Увеличена ширина и изменено форматирование ячейки "Контрагент" на листе согласования</t>
  </si>
  <si>
    <t>источник</t>
  </si>
  <si>
    <t>GPL</t>
  </si>
  <si>
    <t>вход</t>
  </si>
  <si>
    <t>Исправления:</t>
  </si>
  <si>
    <t>Улучшения:</t>
  </si>
  <si>
    <t>Удалены правила проверки вводимых данных в ячейке "Срок гарантии" на листе согласования</t>
  </si>
  <si>
    <t>Бубанков Г.Е.</t>
  </si>
  <si>
    <t>Ванюшин С.Н.</t>
  </si>
  <si>
    <t>Синиченко С.В.</t>
  </si>
  <si>
    <t>Ширяев А.М.</t>
  </si>
  <si>
    <t>Сорокин А.В.</t>
  </si>
  <si>
    <t>служ_колонки</t>
  </si>
  <si>
    <t>Строка</t>
  </si>
  <si>
    <t>Способ</t>
  </si>
  <si>
    <t>Источник</t>
  </si>
  <si>
    <t>Процент</t>
  </si>
  <si>
    <t>Добавлена возможность выбирать источник цен для расчёта (GPL или вход) у каждой позиции КП с помощью новой служебной колонки "Источник" на листе расчёта продажи</t>
  </si>
  <si>
    <t>Кнопки добавления новых строк в таблицу расчёта закупки заменены на +5 и +20</t>
  </si>
  <si>
    <t>v0.99</t>
  </si>
  <si>
    <t>Единица измерения</t>
  </si>
  <si>
    <t>Если у строки в таблице расчёта закупке не указан индекс, а значит она не войдёт в расчёт продажи, то цвет текста в такой строке меняется на светло-серый</t>
  </si>
  <si>
    <t>менеджеры_должность</t>
  </si>
  <si>
    <t>Менеджер департамента продаж</t>
  </si>
  <si>
    <t>Технический директор</t>
  </si>
  <si>
    <t>Старший специалист отдела сопровождения проектов</t>
  </si>
  <si>
    <t>Руководитель департамента закупок и логистики</t>
  </si>
  <si>
    <t>Генеральный директор</t>
  </si>
  <si>
    <t>Руководитель проектов</t>
  </si>
  <si>
    <t>Директор по развитию бизнеса</t>
  </si>
  <si>
    <t>Руководитель сервисного центра</t>
  </si>
  <si>
    <t>приложения к договору</t>
  </si>
  <si>
    <t>Добавлена возможность экспорта КП на бланк в Word и в отдельную книгу Excel</t>
  </si>
  <si>
    <t>Исправлено форматирование и проверка данных в некоторых ячейках на листе согласования</t>
  </si>
  <si>
    <t>Известные ошибки:</t>
  </si>
  <si>
    <t>Ошибка "Out of memory" при попытке создания комплект из более чем ~50 наименований в связи с ограничением Excel на количество символов в одной ячейке</t>
  </si>
  <si>
    <t>13
Срок поставки</t>
  </si>
  <si>
    <t>14
Поставщик</t>
  </si>
  <si>
    <t>15
Примечания</t>
  </si>
  <si>
    <t>16
Вес</t>
  </si>
  <si>
    <t>17
Всего</t>
  </si>
  <si>
    <t>18
Объём</t>
  </si>
  <si>
    <t>19
Всего</t>
  </si>
  <si>
    <t>20
Валюта</t>
  </si>
  <si>
    <t>21
Цена GPL</t>
  </si>
  <si>
    <t>22
Валюта</t>
  </si>
  <si>
    <t>23
Цена Вход</t>
  </si>
  <si>
    <t>24
НДС закупки</t>
  </si>
  <si>
    <t>25
Сумма GPL</t>
  </si>
  <si>
    <t>26
Сумма Вход</t>
  </si>
  <si>
    <t>12
НДС вход</t>
  </si>
  <si>
    <t>При выделении одной или нескольких ячеек в столбцах "Цена GPL" (21) и "Цена входа" (23) к ним добавляется комментарий, содержащий "p/n" и "Наименование" соответствующего товара</t>
  </si>
  <si>
    <t>При вставке в столбцы "Цена GPL" (21) и "Цена входа" (23) строки содержащей точку на конце, все остальные десятичные разделители будут проигнорированы. Например, строка "1 234,50 р." будет распознана как число "123450"</t>
  </si>
  <si>
    <t>Добавлена возможность вводить формулы в ячейки столбцов "Цена GPL" (21) и "Цена входа" (23) на листе расчёта закупки (но не вставлять!)</t>
  </si>
  <si>
    <r>
      <t>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</si>
  <si>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r>
      <t>Общий 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</si>
  <si>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t>1</t>
  </si>
  <si>
    <t>1.1</t>
  </si>
  <si>
    <t>27
тип индекса</t>
  </si>
  <si>
    <t>Тип индекса</t>
  </si>
  <si>
    <t>Служебные</t>
  </si>
  <si>
    <t>subtitle</t>
  </si>
  <si>
    <t>28
НДС закупки</t>
  </si>
  <si>
    <t>Доля доставки</t>
  </si>
  <si>
    <t>v1.02</t>
  </si>
  <si>
    <t>Исправлена функция корректировки чисел при вставке в столбцы "Цена GPL" (16) и "Цена закупки" (22), из-за которой игнорировали все десятичные разделители, если строка заканчивалась на точку. Например, строка "1 234,50 р." раньше распознавалась как число "123450", а теперь как "1234,50"</t>
  </si>
  <si>
    <t>Исправлено неправильная обработка налогообложения при экспорте в Word, а также ошибка в случае отсутствия указания проектного менеджера на листе согласования</t>
  </si>
  <si>
    <t>Не ошибка, но особенность - если у строки с индексом сборки (оканчивающейся на ".0") не указан способ расчёта НДС, то НДС у всей сборки обнуляется. Это может привести к разнице в расчёте на листе "Внутренняя спецификация" с расчётом КП.</t>
  </si>
  <si>
    <t>Добавлена колонка "НДС входа" (12) для возможности расчёта продуктов н/о НДС и с НДС в одном КП. Например, если мы покупаем право на использование ПО, которое не облагается НДС, но хотим продать его без сублицензионного договора добавив НДС к стоимости продуктов, то достаточно проставить "н/о НДС" в столбце "НДС закупки" (24) и "с НДС" (или "без НДС") в столбце "НДС входа" (12). В этом случае при расчёте КП НДС будет автоматически добавлен к цене этого продукта. Недопускается миксовать в одном расчёте товары "без НДС" и "с НДС".</t>
  </si>
  <si>
    <r>
      <t xml:space="preserve">Добавлены правила условного форматирования:
- ячейки с одинаковыми индексами выделяются красным;
- все ячейки с ошибками в вычислениях в столбцах 7-9 и 14 выделяются красным и полужирным шрифтом;
- наименование строк с индексами заголовка ("1", "3", "14" и т.д.) выделяются </t>
    </r>
    <r>
      <rPr>
        <b/>
        <sz val="11"/>
        <color theme="1"/>
        <rFont val="Calibri"/>
        <family val="2"/>
        <charset val="204"/>
        <scheme val="minor"/>
      </rPr>
      <t xml:space="preserve">полужирным;
</t>
    </r>
    <r>
      <rPr>
        <sz val="11"/>
        <color theme="1"/>
        <rFont val="Calibri"/>
        <family val="2"/>
        <charset val="204"/>
        <scheme val="minor"/>
      </rPr>
      <t xml:space="preserve">- наименование строк с индексами комплекта ("1.0", "3.0", "14.0" и т.д.) выделяются </t>
    </r>
    <r>
      <rPr>
        <i/>
        <u/>
        <sz val="11"/>
        <color theme="1"/>
        <rFont val="Calibri"/>
        <family val="2"/>
        <charset val="204"/>
        <scheme val="minor"/>
      </rPr>
      <t>курсивом и подчёркиваются</t>
    </r>
    <r>
      <rPr>
        <sz val="11"/>
        <color theme="1"/>
        <rFont val="Calibri"/>
        <family val="2"/>
        <charset val="204"/>
        <scheme val="minor"/>
      </rPr>
      <t>;
- ячейки с суммами выделяются красным, если они обнаружены у строк с индексами заголовка (и ещё они обнуляются);
- ячейки со способом расчёта НДС выделяются красным, если (1) они пусты и найдены у строки с индексом комплекта (".0") или (2) указан способ "н/о НДС", хотя закупка производится с НДС</t>
    </r>
  </si>
  <si>
    <t>Этого товара не будет в КП, т.к. у него нет индекса</t>
  </si>
  <si>
    <t>2</t>
  </si>
  <si>
    <t>Как можно заметить, заголовки выделяются полужирным шрифтом</t>
  </si>
  <si>
    <t>3</t>
  </si>
  <si>
    <t>Вендор 1</t>
  </si>
  <si>
    <t>Этот товар входит в подгруппу "1"</t>
  </si>
  <si>
    <t>1.2</t>
  </si>
  <si>
    <t>Цена закупки этого товара указана "без НДС", а значит при расчёте продажи к нему будет автоматически добавлено 18%</t>
  </si>
  <si>
    <t>1.8</t>
  </si>
  <si>
    <t>Вендор 2</t>
  </si>
  <si>
    <t>1.9</t>
  </si>
  <si>
    <t>Но можем продать его же и с НДС. Цена закупки увеличится, но перерасчёт произойдёт автоматически, дополнительных манипуляций не потребуется</t>
  </si>
  <si>
    <t>1.10</t>
  </si>
  <si>
    <t>А продать товар купленный с НДС как лицензии н/о НДС - нельзя, поэтому ячейка в столбце 10 выделена красным.</t>
  </si>
  <si>
    <t>1.3</t>
  </si>
  <si>
    <t>Вендор 3</t>
  </si>
  <si>
    <t>1.4.0</t>
  </si>
  <si>
    <t>Это заголовок комплекта (сборки), потому что индекс оканчивается на ".0". Наименование таких позиций выделяется курсивом</t>
  </si>
  <si>
    <t>1.4.1</t>
  </si>
  <si>
    <t>В сборку входят все товары, у которых индексы без последней числовой группы равны и найден заголовок комплекта. Например - "1.4.0", "1.4.1", "1.4.2", "1.4.4" и т.д.</t>
  </si>
  <si>
    <t>1.4.2</t>
  </si>
  <si>
    <t>Количество комплектов берётся равным количеству, указанным в заголовке комплекта. Если ячейка с количеством пуста, то макрос вычисляет наибольший общий делитель всех товаров в комплекте</t>
  </si>
  <si>
    <t>1.4.3</t>
  </si>
  <si>
    <t>У этой сборки НОД равен двум, а значит количество комплектов также приравнивается к двум</t>
  </si>
  <si>
    <t>3.1.0</t>
  </si>
  <si>
    <t>Налогообложение всей сборки устанавливается у её заголовка. Налогообложение товаров в её составе должно быть одинаковым, поэтому указание разных способов расчёта НДС у разных товаров приведёт к неправильному расчёту, будьте внимательны.</t>
  </si>
  <si>
    <t>3.1.1</t>
  </si>
  <si>
    <t>Т.к. у заголовка этой сборки не был указан способ расчёта НДС, то ячейка в столбце 10 выделена красным, а НДС всей сборки будет равен нулю (см. примечание на листе "КП 23.09.2017 21.06.37")</t>
  </si>
  <si>
    <t>2.1</t>
  </si>
  <si>
    <t>У этого товара и товара строкой ниже указан одинаковый индекс, что является ошибкой,</t>
  </si>
  <si>
    <t>т.к. макрос не сможет определить какая из позиций следует первой. Таких ситуаций следует избегать. Для удобства ячейки с повторяющимися индексами выделяются красным.</t>
  </si>
  <si>
    <t>2.3</t>
  </si>
  <si>
    <t>У этого товара очень большая маржа (так держать!), что легко заметить по гистограмме в столбце 14, но т.к. прибыль рассчитывается как скидка от GPL, то в столбце 13 гистограмма будет в красной зоне. Это нормально, гистограмма в столбце 13 нужна только для удобства выделения ячеек с различными значениями процента</t>
  </si>
  <si>
    <t>2.4</t>
  </si>
  <si>
    <t>Возможны небольшие ошибки округления.
C'est la vie</t>
  </si>
  <si>
    <t>Эта позиция будет заголовком, т.к. у неё индекс состоит из одного числа "1" и в таблице найдены индексы, составляющие вместе подгруппу - "1.1", "1.2", "1.4.0" и т.д.</t>
  </si>
  <si>
    <t>В КП этот товар будет идти сразу после индекса "1.2" - строки сортируются по значению индексов</t>
  </si>
  <si>
    <t>assembly</t>
  </si>
  <si>
    <t>Стоимость доставки распределяется между товарами пропорционально их себестоимости с НДС. Если у товара нет себестоимости (например, расчёт ведётся от GPL), то к нему не будет добавлена доставка. Доставка включается в расчёт как есть - к ней не добавляется маржа/наценка.</t>
  </si>
  <si>
    <t>Дата расчёта</t>
  </si>
  <si>
    <t xml:space="preserve">Если у заголовка вычислена цена закупки, НДС и другие параметры расчёта стоимости закупки, то ячейки суммы закупки обнуляются, а сами они выделяются красным. Это сделано потому, что заголовки не участвуют в формировании КП, их нельзя продать. </t>
  </si>
  <si>
    <t>Этот товар не облагается НДС при закупке, и продаём мы его также - н/о НДС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</si>
  <si>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</si>
  <si>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</si>
  <si>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</si>
  <si>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</si>
  <si>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</si>
  <si>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</si>
  <si>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</si>
  <si>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</si>
  <si>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</si>
  <si>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</si>
  <si>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</si>
  <si>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</si>
  <si>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</si>
  <si>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</si>
  <si>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</si>
  <si>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</si>
  <si>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</si>
  <si>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</si>
  <si>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</si>
  <si>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p/n</t>
  </si>
  <si>
    <t>Ед. изм.</t>
  </si>
  <si>
    <t>1.5</t>
  </si>
  <si>
    <t>1.6</t>
  </si>
  <si>
    <t>1.7</t>
  </si>
  <si>
    <t>2.2</t>
  </si>
  <si>
    <t>1.4</t>
  </si>
  <si>
    <t>3.1</t>
  </si>
  <si>
    <t>Курс ЦБ РФ на 02.11.2017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</si>
</sst>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[$$-1009]#,##0.00"/>
    <numFmt numFmtId="165" formatCode="#,##0.00&quot;р.&quot;"/>
    <numFmt numFmtId="166" formatCode="_(&quot;$&quot;* #,##0.00_);_(&quot;$&quot;* \(#,##0.00\);_(&quot;$&quot;* &quot;-&quot;??_);_(@_)"/>
    <numFmt numFmtId="167" formatCode="0.00%;[Red]\-0.00%"/>
    <numFmt numFmtId="168" formatCode="#,##0.0000\ [$₽-419]_-;[Red]\-#,##0.0000\ [$₽-419]_-;&quot;-&quot;??\ [$₽-419]_-"/>
    <numFmt numFmtId="169" formatCode="#,##0.00\ [$₽-419]_-;[Red]\-#,##0.00\ [$₽-419]_-;&quot;-&quot;??\ [$₽-419]_-"/>
    <numFmt numFmtId="170" formatCode="0\ &quot;мес.&quot;"/>
    <numFmt numFmtId="171" formatCode="&quot;г.&quot;\ @"/>
    <numFmt numFmtId="172" formatCode="&quot;/&quot;\ @\ &quot;/&quot;"/>
    <numFmt numFmtId="173" formatCode="[$-FC19]dd\ mmmm\ yyyy\ \г\ h:mm;@"/>
    <numFmt numFmtId="174" formatCode="0\ &quot;дн.&quot;"/>
    <numFmt numFmtId="175" formatCode="@&quot;         &quot;"/>
    <numFmt numFmtId="176" formatCode="#,##0.00\ [$₽-419];\-#,##0.00\ [$₽-419]"/>
    <numFmt numFmtId="177" formatCode=";;&quot;&quot;;@"/>
    <numFmt numFmtId="178" formatCode="0;;;@"/>
    <numFmt numFmtId="179" formatCode="#,##0.00;[Red]\-#,##0.00;&quot;-&quot;??\ 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name val="Calibri"/>
      <family val="2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scheme val="minor"/>
    </font>
    <font>
      <sz val="10"/>
      <name val="Calibri"/>
      <family val="2"/>
    </font>
    <font>
      <sz val="10"/>
      <color rgb="FF000000"/>
      <name val="Century Gothic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vertAlign val="superscript"/>
      <sz val="11"/>
      <color theme="1"/>
      <name val="Century Gothic"/>
      <family val="2"/>
      <charset val="204"/>
    </font>
    <font>
      <b/>
      <sz val="12"/>
      <color theme="1"/>
      <name val="Century"/>
      <family val="1"/>
      <charset val="204"/>
    </font>
    <font>
      <sz val="11"/>
      <color theme="1"/>
      <name val="Century"/>
      <family val="1"/>
      <charset val="204"/>
    </font>
    <font>
      <sz val="14"/>
      <color theme="1"/>
      <name val="Century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14"/>
      <color theme="1"/>
      <name val="Century"/>
      <family val="1"/>
      <charset val="204"/>
    </font>
    <font>
      <sz val="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i/>
      <sz val="9"/>
      <color indexed="81"/>
      <name val="Tahoma"/>
      <family val="2"/>
      <charset val="204"/>
    </font>
    <font>
      <i/>
      <u/>
      <sz val="9"/>
      <color indexed="81"/>
      <name val="Tahoma"/>
      <family val="2"/>
      <charset val="204"/>
    </font>
    <font>
      <sz val="9"/>
      <color theme="1"/>
      <name val="Tahoma"/>
      <family val="2"/>
      <charset val="204"/>
    </font>
    <font>
      <i/>
      <u/>
      <sz val="9"/>
      <color theme="1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entury Gothic"/>
      <family val="2"/>
      <charset val="204"/>
    </font>
    <font>
      <sz val="10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0"/>
      <color theme="1"/>
      <name val="Century"/>
      <family val="1"/>
      <charset val="204"/>
    </font>
    <font>
      <b/>
      <sz val="10"/>
      <color theme="1"/>
      <name val="Century Gothic"/>
      <family val="2"/>
      <charset val="204"/>
    </font>
    <font>
      <b/>
      <sz val="10"/>
      <color rgb="FFC00000"/>
      <name val="Century Gothic"/>
      <family val="2"/>
      <charset val="204"/>
    </font>
    <font>
      <b/>
      <sz val="10"/>
      <color rgb="FFFF0000"/>
      <name val="Century Gothic"/>
      <family val="2"/>
      <charset val="204"/>
    </font>
    <font>
      <sz val="10"/>
      <name val="Century"/>
      <family val="1"/>
      <charset val="204"/>
    </font>
    <font>
      <b/>
      <vertAlign val="subscript"/>
      <sz val="12"/>
      <name val="Century"/>
      <family val="1"/>
      <charset val="204"/>
    </font>
    <font>
      <i/>
      <sz val="9"/>
      <color theme="1" tint="0.34998626667073579"/>
      <name val="Century Gothic"/>
      <family val="2"/>
      <charset val="204"/>
    </font>
    <font>
      <b/>
      <sz val="9"/>
      <color theme="1" tint="0.34998626667073579"/>
      <name val="Century Gothic"/>
      <family val="2"/>
      <charset val="204"/>
    </font>
    <font>
      <b/>
      <sz val="10"/>
      <name val="Century"/>
      <family val="1"/>
      <charset val="204"/>
    </font>
    <font>
      <b/>
      <sz val="11"/>
      <color theme="1"/>
      <name val="Century"/>
      <family val="1"/>
      <charset val="204"/>
    </font>
    <font>
      <vertAlign val="superscript"/>
      <sz val="11"/>
      <color theme="1"/>
      <name val="Calibri"/>
      <family val="1"/>
      <charset val="204"/>
      <scheme val="minor"/>
    </font>
    <font>
      <sz val="10"/>
      <color theme="1"/>
      <name val="Century"/>
      <family val="1"/>
      <charset val="204"/>
    </font>
    <font>
      <sz val="8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b/>
      <sz val="10"/>
      <color theme="5"/>
      <name val="Century Gothic"/>
      <family val="2"/>
      <charset val="204"/>
    </font>
    <font>
      <sz val="10"/>
      <color rgb="FF000000"/>
      <name val="Century Gothic"/>
      <family val="2"/>
      <charset val="204"/>
    </font>
    <font>
      <i/>
      <u/>
      <sz val="11"/>
      <color theme="1"/>
      <name val="Calibri"/>
      <family val="2"/>
      <charset val="204"/>
      <scheme val="minor"/>
    </font>
    <font>
      <b/>
      <sz val="10"/>
      <color rgb="FF000000"/>
      <name val="Century Gothic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DF7E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2">
    <xf numFmtId="0" fontId="0" fillId="0" borderId="0"/>
    <xf numFmtId="0" fontId="5" fillId="0" borderId="0"/>
    <xf numFmtId="0" fontId="5" fillId="0" borderId="0"/>
    <xf numFmtId="0" fontId="6" fillId="0" borderId="0"/>
    <xf numFmtId="0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10" fillId="0" borderId="0" applyNumberFormat="0" applyFill="0" applyBorder="0" applyAlignment="0" applyProtection="0"/>
    <xf numFmtId="0" fontId="2" fillId="0" borderId="0"/>
    <xf numFmtId="9" fontId="14" fillId="0" borderId="0" applyFont="0" applyFill="0" applyBorder="0" applyAlignment="0" applyProtection="0"/>
    <xf numFmtId="0" fontId="34" fillId="0" borderId="0"/>
  </cellStyleXfs>
  <cellXfs count="343">
    <xf numFmtId="0" fontId="0" fillId="0" borderId="0" xfId="0"/>
    <xf numFmtId="0" fontId="4" fillId="0" borderId="0" xfId="0" applyFont="1"/>
    <xf numFmtId="0" fontId="4" fillId="0" borderId="11" xfId="0" applyFont="1" applyBorder="1"/>
    <xf numFmtId="0" fontId="7" fillId="0" borderId="14" xfId="4" applyFont="1" applyBorder="1" applyProtection="1"/>
    <xf numFmtId="0" fontId="7" fillId="0" borderId="16" xfId="4" applyFont="1" applyBorder="1" applyProtection="1"/>
    <xf numFmtId="0" fontId="4" fillId="0" borderId="12" xfId="0" applyFont="1" applyBorder="1"/>
    <xf numFmtId="0" fontId="4" fillId="0" borderId="13" xfId="0" applyFont="1" applyBorder="1"/>
    <xf numFmtId="0" fontId="0" fillId="0" borderId="14" xfId="0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2" xfId="0" applyNumberFormat="1" applyFont="1" applyBorder="1"/>
    <xf numFmtId="0" fontId="4" fillId="0" borderId="13" xfId="0" applyNumberFormat="1" applyFont="1" applyBorder="1"/>
    <xf numFmtId="0" fontId="0" fillId="0" borderId="0" xfId="0" applyNumberFormat="1"/>
    <xf numFmtId="0" fontId="7" fillId="0" borderId="0" xfId="4" applyNumberFormat="1" applyFont="1" applyBorder="1" applyAlignment="1" applyProtection="1">
      <alignment horizontal="center"/>
    </xf>
    <xf numFmtId="0" fontId="7" fillId="0" borderId="15" xfId="4" applyNumberFormat="1" applyFont="1" applyBorder="1" applyAlignment="1" applyProtection="1">
      <alignment horizontal="center"/>
    </xf>
    <xf numFmtId="0" fontId="7" fillId="0" borderId="17" xfId="4" applyNumberFormat="1" applyFont="1" applyBorder="1" applyAlignment="1" applyProtection="1">
      <alignment horizontal="center"/>
    </xf>
    <xf numFmtId="0" fontId="7" fillId="0" borderId="18" xfId="4" applyNumberFormat="1" applyFont="1" applyBorder="1" applyAlignment="1" applyProtection="1">
      <alignment horizontal="center"/>
    </xf>
    <xf numFmtId="0" fontId="4" fillId="0" borderId="0" xfId="0" applyFont="1" applyBorder="1"/>
    <xf numFmtId="0" fontId="0" fillId="0" borderId="17" xfId="0" quotePrefix="1" applyBorder="1" applyAlignment="1">
      <alignment horizontal="center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171" fontId="15" fillId="0" borderId="0" xfId="0" applyNumberFormat="1" applyFont="1" applyBorder="1" applyAlignment="1">
      <alignment horizontal="left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Border="1" applyAlignment="1">
      <alignment vertical="center"/>
    </xf>
    <xf numFmtId="174" fontId="15" fillId="0" borderId="0" xfId="0" applyNumberFormat="1" applyFont="1" applyBorder="1" applyAlignment="1">
      <alignment vertical="center"/>
    </xf>
    <xf numFmtId="0" fontId="21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9" xfId="0" applyNumberFormat="1" applyFont="1" applyFill="1" applyBorder="1" applyAlignment="1" applyProtection="1">
      <alignment horizontal="right" vertical="center" wrapText="1"/>
      <protection locked="0"/>
    </xf>
    <xf numFmtId="2" fontId="22" fillId="0" borderId="9" xfId="0" applyNumberFormat="1" applyFont="1" applyFill="1" applyBorder="1" applyAlignment="1" applyProtection="1">
      <alignment horizontal="center" vertical="center" wrapText="1"/>
      <protection locked="0"/>
    </xf>
    <xf numFmtId="169" fontId="22" fillId="0" borderId="9" xfId="0" applyNumberFormat="1" applyFont="1" applyFill="1" applyBorder="1" applyAlignment="1" applyProtection="1">
      <alignment horizontal="right" vertical="center" wrapText="1"/>
      <protection locked="0"/>
    </xf>
    <xf numFmtId="0" fontId="22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5" fillId="4" borderId="20" xfId="0" applyFont="1" applyFill="1" applyBorder="1" applyAlignment="1">
      <alignment horizontal="left" vertical="center"/>
    </xf>
    <xf numFmtId="4" fontId="15" fillId="4" borderId="20" xfId="0" applyNumberFormat="1" applyFont="1" applyFill="1" applyBorder="1" applyAlignment="1">
      <alignment vertical="center"/>
    </xf>
    <xf numFmtId="0" fontId="15" fillId="0" borderId="22" xfId="0" applyFont="1" applyBorder="1" applyAlignment="1">
      <alignment vertical="center"/>
    </xf>
    <xf numFmtId="0" fontId="16" fillId="0" borderId="23" xfId="0" applyFont="1" applyBorder="1" applyAlignment="1">
      <alignment horizontal="left" vertical="center"/>
    </xf>
    <xf numFmtId="0" fontId="15" fillId="0" borderId="23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horizontal="left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6" fillId="0" borderId="23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5" fillId="0" borderId="26" xfId="0" applyFont="1" applyBorder="1" applyAlignment="1">
      <alignment vertical="center" wrapText="1"/>
    </xf>
    <xf numFmtId="0" fontId="15" fillId="0" borderId="26" xfId="0" applyFont="1" applyBorder="1" applyAlignment="1">
      <alignment horizontal="left" vertical="center"/>
    </xf>
    <xf numFmtId="0" fontId="25" fillId="0" borderId="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15" fillId="0" borderId="0" xfId="0" applyFont="1" applyAlignment="1"/>
    <xf numFmtId="0" fontId="15" fillId="0" borderId="0" xfId="0" applyFont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72" fontId="15" fillId="0" borderId="0" xfId="0" applyNumberFormat="1" applyFont="1" applyAlignment="1">
      <alignment vertical="center"/>
    </xf>
    <xf numFmtId="0" fontId="15" fillId="0" borderId="26" xfId="0" applyFont="1" applyFill="1" applyBorder="1" applyAlignment="1">
      <alignment vertical="center"/>
    </xf>
    <xf numFmtId="0" fontId="19" fillId="6" borderId="20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15" fillId="6" borderId="21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vertical="center"/>
    </xf>
    <xf numFmtId="0" fontId="15" fillId="6" borderId="20" xfId="0" applyFont="1" applyFill="1" applyBorder="1" applyAlignment="1">
      <alignment vertical="center"/>
    </xf>
    <xf numFmtId="0" fontId="15" fillId="6" borderId="21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35" fillId="0" borderId="0" xfId="0" applyFont="1" applyAlignment="1"/>
    <xf numFmtId="49" fontId="35" fillId="0" borderId="0" xfId="0" applyNumberFormat="1" applyFont="1" applyAlignment="1"/>
    <xf numFmtId="0" fontId="36" fillId="0" borderId="0" xfId="4" applyFont="1" applyProtection="1">
      <protection locked="0"/>
    </xf>
    <xf numFmtId="0" fontId="36" fillId="0" borderId="0" xfId="4" applyNumberFormat="1" applyFont="1" applyProtection="1">
      <protection locked="0"/>
    </xf>
    <xf numFmtId="0" fontId="37" fillId="0" borderId="0" xfId="4" applyFont="1" applyProtection="1"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8" fillId="0" borderId="0" xfId="4" applyFont="1"/>
    <xf numFmtId="0" fontId="39" fillId="0" borderId="0" xfId="4" applyFont="1" applyAlignment="1" applyProtection="1">
      <alignment horizontal="center" vertical="center"/>
      <protection locked="0"/>
    </xf>
    <xf numFmtId="0" fontId="40" fillId="0" borderId="0" xfId="4" applyNumberFormat="1" applyFont="1" applyAlignment="1" applyProtection="1">
      <alignment vertical="center"/>
      <protection locked="0"/>
    </xf>
    <xf numFmtId="0" fontId="36" fillId="6" borderId="10" xfId="4" applyFont="1" applyFill="1" applyBorder="1" applyAlignment="1" applyProtection="1">
      <alignment horizontal="center" vertical="center"/>
      <protection locked="0"/>
    </xf>
    <xf numFmtId="22" fontId="36" fillId="0" borderId="0" xfId="4" applyNumberFormat="1" applyFont="1" applyBorder="1" applyAlignment="1" applyProtection="1">
      <alignment horizontal="right" vertical="top"/>
      <protection locked="0"/>
    </xf>
    <xf numFmtId="0" fontId="41" fillId="6" borderId="10" xfId="4" applyFont="1" applyFill="1" applyBorder="1" applyAlignment="1" applyProtection="1">
      <alignment horizontal="center" vertical="center"/>
      <protection locked="0"/>
    </xf>
    <xf numFmtId="0" fontId="37" fillId="0" borderId="0" xfId="4" applyNumberFormat="1" applyFont="1" applyProtection="1">
      <protection locked="0"/>
    </xf>
    <xf numFmtId="14" fontId="36" fillId="6" borderId="10" xfId="4" applyNumberFormat="1" applyFont="1" applyFill="1" applyBorder="1" applyAlignment="1" applyProtection="1">
      <alignment horizontal="center" vertical="center"/>
      <protection locked="0"/>
    </xf>
    <xf numFmtId="0" fontId="36" fillId="0" borderId="0" xfId="4" applyFont="1" applyBorder="1" applyAlignment="1" applyProtection="1">
      <alignment horizontal="right" vertical="center"/>
      <protection locked="0"/>
    </xf>
    <xf numFmtId="0" fontId="36" fillId="0" borderId="1" xfId="4" applyFont="1" applyBorder="1" applyAlignment="1" applyProtection="1">
      <alignment horizontal="center" vertical="center"/>
      <protection locked="0"/>
    </xf>
    <xf numFmtId="168" fontId="40" fillId="6" borderId="1" xfId="5" applyNumberFormat="1" applyFont="1" applyFill="1" applyBorder="1" applyAlignment="1" applyProtection="1">
      <alignment horizontal="right" vertical="center"/>
      <protection locked="0"/>
    </xf>
    <xf numFmtId="0" fontId="42" fillId="0" borderId="0" xfId="4" applyFont="1" applyAlignment="1" applyProtection="1">
      <alignment horizontal="right"/>
      <protection locked="0"/>
    </xf>
    <xf numFmtId="0" fontId="37" fillId="0" borderId="0" xfId="4" applyFont="1" applyAlignment="1" applyProtection="1">
      <alignment horizontal="right"/>
      <protection locked="0"/>
    </xf>
    <xf numFmtId="176" fontId="36" fillId="6" borderId="10" xfId="4" applyNumberFormat="1" applyFont="1" applyFill="1" applyBorder="1" applyAlignment="1" applyProtection="1">
      <alignment horizontal="center" vertical="center"/>
      <protection locked="0"/>
    </xf>
    <xf numFmtId="0" fontId="44" fillId="0" borderId="0" xfId="4" applyFont="1" applyAlignment="1" applyProtection="1">
      <alignment horizontal="right"/>
      <protection locked="0"/>
    </xf>
    <xf numFmtId="0" fontId="37" fillId="0" borderId="0" xfId="4" applyFont="1" applyAlignment="1" applyProtection="1">
      <alignment vertical="center"/>
      <protection locked="0"/>
    </xf>
    <xf numFmtId="0" fontId="36" fillId="0" borderId="0" xfId="4" applyNumberFormat="1" applyFont="1" applyAlignment="1" applyProtection="1">
      <alignment vertical="center"/>
      <protection locked="0"/>
    </xf>
    <xf numFmtId="0" fontId="36" fillId="0" borderId="0" xfId="4" applyNumberFormat="1" applyFont="1" applyAlignment="1" applyProtection="1">
      <alignment horizontal="center" vertical="center"/>
      <protection locked="0"/>
    </xf>
    <xf numFmtId="0" fontId="45" fillId="0" borderId="0" xfId="4" applyFont="1" applyAlignment="1" applyProtection="1">
      <alignment horizontal="right" vertical="center"/>
      <protection locked="0"/>
    </xf>
    <xf numFmtId="0" fontId="46" fillId="6" borderId="10" xfId="4" applyFont="1" applyFill="1" applyBorder="1" applyProtection="1">
      <protection locked="0"/>
    </xf>
    <xf numFmtId="0" fontId="46" fillId="5" borderId="10" xfId="4" applyFont="1" applyFill="1" applyBorder="1" applyProtection="1">
      <protection locked="0"/>
    </xf>
    <xf numFmtId="0" fontId="36" fillId="0" borderId="1" xfId="4" applyFont="1" applyFill="1" applyBorder="1" applyAlignment="1" applyProtection="1">
      <alignment horizontal="center" vertical="center"/>
      <protection hidden="1"/>
    </xf>
    <xf numFmtId="168" fontId="36" fillId="0" borderId="1" xfId="4" applyNumberFormat="1" applyFont="1" applyFill="1" applyBorder="1" applyAlignment="1" applyProtection="1">
      <alignment horizontal="right" vertical="center"/>
      <protection hidden="1"/>
    </xf>
    <xf numFmtId="0" fontId="46" fillId="7" borderId="10" xfId="4" applyFont="1" applyFill="1" applyBorder="1" applyProtection="1">
      <protection locked="0"/>
    </xf>
    <xf numFmtId="0" fontId="43" fillId="0" borderId="0" xfId="4" applyFont="1" applyProtection="1">
      <protection locked="0"/>
    </xf>
    <xf numFmtId="0" fontId="50" fillId="0" borderId="0" xfId="4" applyFont="1" applyProtection="1">
      <protection locked="0"/>
    </xf>
    <xf numFmtId="164" fontId="39" fillId="0" borderId="32" xfId="4" applyNumberFormat="1" applyFont="1" applyBorder="1" applyAlignment="1" applyProtection="1">
      <alignment horizontal="center" vertical="top"/>
      <protection locked="0"/>
    </xf>
    <xf numFmtId="164" fontId="39" fillId="0" borderId="33" xfId="4" applyNumberFormat="1" applyFont="1" applyBorder="1" applyAlignment="1" applyProtection="1">
      <alignment horizontal="center" vertical="top"/>
      <protection locked="0"/>
    </xf>
    <xf numFmtId="164" fontId="39" fillId="0" borderId="36" xfId="4" applyNumberFormat="1" applyFont="1" applyBorder="1" applyAlignment="1" applyProtection="1">
      <alignment horizontal="center" vertical="top"/>
      <protection locked="0"/>
    </xf>
    <xf numFmtId="164" fontId="39" fillId="0" borderId="1" xfId="4" applyNumberFormat="1" applyFont="1" applyBorder="1" applyAlignment="1" applyProtection="1">
      <alignment horizontal="center" vertical="top" wrapText="1"/>
      <protection locked="0"/>
    </xf>
    <xf numFmtId="164" fontId="39" fillId="0" borderId="2" xfId="4" applyNumberFormat="1" applyFont="1" applyBorder="1" applyAlignment="1" applyProtection="1">
      <alignment horizontal="center" vertical="top" wrapText="1"/>
      <protection locked="0"/>
    </xf>
    <xf numFmtId="0" fontId="51" fillId="0" borderId="1" xfId="0" applyNumberFormat="1" applyFont="1" applyFill="1" applyBorder="1" applyAlignment="1" applyProtection="1">
      <alignment horizontal="center" vertical="top" wrapText="1"/>
      <protection locked="0"/>
    </xf>
    <xf numFmtId="0" fontId="51" fillId="0" borderId="2" xfId="0" applyNumberFormat="1" applyFont="1" applyFill="1" applyBorder="1" applyAlignment="1" applyProtection="1">
      <alignment horizontal="center" vertical="top" wrapText="1"/>
      <protection locked="0"/>
    </xf>
    <xf numFmtId="0" fontId="51" fillId="0" borderId="21" xfId="0" applyNumberFormat="1" applyFont="1" applyFill="1" applyBorder="1" applyAlignment="1" applyProtection="1">
      <alignment horizontal="center" vertical="top" wrapText="1"/>
      <protection locked="0"/>
    </xf>
    <xf numFmtId="0" fontId="51" fillId="0" borderId="10" xfId="0" applyNumberFormat="1" applyFont="1" applyFill="1" applyBorder="1" applyAlignment="1" applyProtection="1">
      <alignment horizontal="center" vertical="top" wrapText="1"/>
      <protection locked="0"/>
    </xf>
    <xf numFmtId="0" fontId="51" fillId="0" borderId="3" xfId="0" applyNumberFormat="1" applyFont="1" applyFill="1" applyBorder="1" applyAlignment="1" applyProtection="1">
      <alignment horizontal="center" vertical="top" wrapText="1"/>
      <protection locked="0"/>
    </xf>
    <xf numFmtId="0" fontId="51" fillId="0" borderId="0" xfId="4" applyFont="1" applyAlignment="1" applyProtection="1">
      <alignment vertical="top"/>
      <protection locked="0"/>
    </xf>
    <xf numFmtId="0" fontId="40" fillId="6" borderId="10" xfId="4" applyFont="1" applyFill="1" applyBorder="1" applyAlignment="1" applyProtection="1">
      <alignment horizontal="center" vertical="center" wrapText="1"/>
      <protection locked="0"/>
    </xf>
    <xf numFmtId="0" fontId="36" fillId="6" borderId="2" xfId="4" applyFont="1" applyFill="1" applyBorder="1" applyAlignment="1" applyProtection="1">
      <alignment horizontal="center" vertical="center" wrapText="1"/>
    </xf>
    <xf numFmtId="0" fontId="40" fillId="5" borderId="10" xfId="4" applyFont="1" applyFill="1" applyBorder="1" applyAlignment="1" applyProtection="1">
      <alignment horizontal="center" vertical="center"/>
      <protection locked="0"/>
    </xf>
    <xf numFmtId="0" fontId="36" fillId="7" borderId="10" xfId="4" applyFont="1" applyFill="1" applyBorder="1" applyAlignment="1" applyProtection="1">
      <alignment horizontal="center" vertical="center" wrapText="1"/>
      <protection locked="0"/>
    </xf>
    <xf numFmtId="2" fontId="36" fillId="5" borderId="10" xfId="4" applyNumberFormat="1" applyFont="1" applyFill="1" applyBorder="1" applyAlignment="1" applyProtection="1">
      <alignment vertical="center"/>
      <protection locked="0"/>
    </xf>
    <xf numFmtId="2" fontId="36" fillId="5" borderId="10" xfId="4" applyNumberFormat="1" applyFont="1" applyFill="1" applyBorder="1" applyAlignment="1" applyProtection="1">
      <alignment vertical="center"/>
    </xf>
    <xf numFmtId="2" fontId="36" fillId="5" borderId="2" xfId="4" applyNumberFormat="1" applyFont="1" applyFill="1" applyBorder="1" applyAlignment="1" applyProtection="1">
      <alignment vertical="center"/>
    </xf>
    <xf numFmtId="4" fontId="36" fillId="0" borderId="10" xfId="4" applyNumberFormat="1" applyFont="1" applyBorder="1" applyAlignment="1" applyProtection="1">
      <alignment vertical="center"/>
    </xf>
    <xf numFmtId="0" fontId="52" fillId="6" borderId="9" xfId="4" applyFont="1" applyFill="1" applyBorder="1" applyAlignment="1" applyProtection="1">
      <alignment horizontal="center" vertical="center" wrapText="1"/>
      <protection locked="0"/>
    </xf>
    <xf numFmtId="0" fontId="52" fillId="6" borderId="9" xfId="4" applyNumberFormat="1" applyFont="1" applyFill="1" applyBorder="1" applyAlignment="1" applyProtection="1">
      <alignment horizontal="left" vertical="center" wrapText="1"/>
      <protection locked="0"/>
    </xf>
    <xf numFmtId="0" fontId="36" fillId="6" borderId="9" xfId="4" applyFont="1" applyFill="1" applyBorder="1" applyAlignment="1" applyProtection="1">
      <alignment horizontal="center" vertical="center" wrapText="1"/>
      <protection locked="0"/>
    </xf>
    <xf numFmtId="167" fontId="40" fillId="0" borderId="19" xfId="4" applyNumberFormat="1" applyFont="1" applyBorder="1" applyAlignment="1" applyProtection="1">
      <alignment horizontal="center" vertical="center"/>
    </xf>
    <xf numFmtId="49" fontId="40" fillId="5" borderId="8" xfId="4" applyNumberFormat="1" applyFont="1" applyFill="1" applyBorder="1" applyAlignment="1" applyProtection="1">
      <alignment horizontal="center" vertical="center" wrapText="1"/>
      <protection locked="0"/>
    </xf>
    <xf numFmtId="0" fontId="36" fillId="7" borderId="9" xfId="4" applyFont="1" applyFill="1" applyBorder="1" applyAlignment="1" applyProtection="1">
      <alignment horizontal="center" vertical="center" wrapText="1"/>
      <protection locked="0"/>
    </xf>
    <xf numFmtId="4" fontId="36" fillId="0" borderId="8" xfId="4" applyNumberFormat="1" applyFont="1" applyBorder="1" applyAlignment="1" applyProtection="1">
      <alignment vertical="center"/>
    </xf>
    <xf numFmtId="167" fontId="40" fillId="0" borderId="0" xfId="4" applyNumberFormat="1" applyFont="1" applyBorder="1" applyAlignment="1" applyProtection="1">
      <alignment horizontal="center" vertical="center"/>
    </xf>
    <xf numFmtId="0" fontId="39" fillId="0" borderId="6" xfId="4" applyFont="1" applyBorder="1" applyAlignment="1" applyProtection="1">
      <alignment horizontal="center" vertical="center" wrapText="1"/>
      <protection locked="0"/>
    </xf>
    <xf numFmtId="0" fontId="39" fillId="0" borderId="7" xfId="4" applyFont="1" applyBorder="1" applyAlignment="1" applyProtection="1">
      <alignment horizontal="center" vertical="center" wrapText="1"/>
      <protection locked="0"/>
    </xf>
    <xf numFmtId="165" fontId="39" fillId="0" borderId="7" xfId="4" applyNumberFormat="1" applyFont="1" applyBorder="1" applyAlignment="1" applyProtection="1">
      <alignment horizontal="center" vertical="center" wrapText="1"/>
      <protection locked="0"/>
    </xf>
    <xf numFmtId="164" fontId="39" fillId="0" borderId="7" xfId="4" applyNumberFormat="1" applyFont="1" applyBorder="1" applyAlignment="1" applyProtection="1">
      <alignment horizontal="center" vertical="center" wrapText="1"/>
      <protection locked="0"/>
    </xf>
    <xf numFmtId="0" fontId="39" fillId="0" borderId="5" xfId="4" applyFont="1" applyBorder="1" applyAlignment="1" applyProtection="1">
      <alignment horizontal="center" vertical="center" wrapText="1"/>
      <protection locked="0"/>
    </xf>
    <xf numFmtId="0" fontId="40" fillId="6" borderId="8" xfId="4" applyFont="1" applyFill="1" applyBorder="1" applyAlignment="1" applyProtection="1">
      <alignment horizontal="center" vertical="center" wrapText="1"/>
    </xf>
    <xf numFmtId="0" fontId="36" fillId="6" borderId="9" xfId="4" applyFont="1" applyFill="1" applyBorder="1" applyAlignment="1" applyProtection="1">
      <alignment horizontal="left" vertical="center" wrapText="1"/>
      <protection locked="0"/>
    </xf>
    <xf numFmtId="2" fontId="36" fillId="0" borderId="9" xfId="4" applyNumberFormat="1" applyFont="1" applyBorder="1" applyAlignment="1" applyProtection="1">
      <alignment horizontal="center" vertical="center" wrapText="1"/>
    </xf>
    <xf numFmtId="169" fontId="36" fillId="5" borderId="9" xfId="4" applyNumberFormat="1" applyFont="1" applyFill="1" applyBorder="1" applyAlignment="1" applyProtection="1">
      <alignment horizontal="right" vertical="center" wrapText="1"/>
      <protection locked="0"/>
    </xf>
    <xf numFmtId="0" fontId="36" fillId="5" borderId="4" xfId="4" applyFont="1" applyFill="1" applyBorder="1" applyAlignment="1" applyProtection="1">
      <alignment horizontal="center" vertical="center" wrapText="1"/>
      <protection locked="0"/>
    </xf>
    <xf numFmtId="0" fontId="40" fillId="6" borderId="19" xfId="4" applyNumberFormat="1" applyFont="1" applyFill="1" applyBorder="1" applyAlignment="1" applyProtection="1">
      <alignment horizontal="center" vertical="center" wrapText="1"/>
    </xf>
    <xf numFmtId="0" fontId="36" fillId="7" borderId="4" xfId="4" applyFont="1" applyFill="1" applyBorder="1" applyAlignment="1" applyProtection="1">
      <alignment horizontal="center" vertical="center" wrapText="1"/>
      <protection locked="0"/>
    </xf>
    <xf numFmtId="0" fontId="36" fillId="7" borderId="19" xfId="4" applyFont="1" applyFill="1" applyBorder="1" applyAlignment="1" applyProtection="1">
      <alignment horizontal="center" vertical="center" wrapText="1"/>
      <protection locked="0"/>
    </xf>
    <xf numFmtId="2" fontId="36" fillId="0" borderId="8" xfId="4" applyNumberFormat="1" applyFont="1" applyBorder="1" applyAlignment="1" applyProtection="1">
      <alignment horizontal="center" vertical="center" wrapText="1"/>
    </xf>
    <xf numFmtId="2" fontId="36" fillId="0" borderId="4" xfId="4" applyNumberFormat="1" applyFont="1" applyBorder="1" applyAlignment="1" applyProtection="1">
      <alignment horizontal="center" vertical="center" wrapText="1"/>
    </xf>
    <xf numFmtId="169" fontId="36" fillId="5" borderId="4" xfId="4" applyNumberFormat="1" applyFont="1" applyFill="1" applyBorder="1" applyAlignment="1" applyProtection="1">
      <alignment horizontal="right" vertical="center" wrapText="1"/>
      <protection locked="0"/>
    </xf>
    <xf numFmtId="0" fontId="36" fillId="5" borderId="19" xfId="4" applyFont="1" applyFill="1" applyBorder="1" applyAlignment="1" applyProtection="1">
      <alignment horizontal="center" vertical="center" wrapText="1"/>
      <protection locked="0"/>
    </xf>
    <xf numFmtId="14" fontId="36" fillId="0" borderId="0" xfId="4" applyNumberFormat="1" applyFont="1" applyProtection="1"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0" xfId="4" applyFont="1" applyBorder="1" applyProtection="1">
      <protection locked="0"/>
    </xf>
    <xf numFmtId="0" fontId="21" fillId="0" borderId="0" xfId="0" applyFont="1" applyAlignment="1">
      <alignment vertical="center"/>
    </xf>
    <xf numFmtId="4" fontId="54" fillId="5" borderId="21" xfId="4" applyNumberFormat="1" applyFont="1" applyFill="1" applyBorder="1" applyAlignment="1" applyProtection="1">
      <alignment horizontal="right" vertical="center"/>
      <protection locked="0"/>
    </xf>
    <xf numFmtId="0" fontId="51" fillId="0" borderId="38" xfId="0" applyNumberFormat="1" applyFont="1" applyFill="1" applyBorder="1" applyAlignment="1" applyProtection="1">
      <alignment horizontal="center" vertical="top" wrapText="1"/>
      <protection locked="0"/>
    </xf>
    <xf numFmtId="0" fontId="51" fillId="0" borderId="39" xfId="0" applyNumberFormat="1" applyFont="1" applyFill="1" applyBorder="1" applyAlignment="1" applyProtection="1">
      <alignment horizontal="center" vertical="top" wrapText="1"/>
      <protection locked="0"/>
    </xf>
    <xf numFmtId="0" fontId="51" fillId="0" borderId="8" xfId="0" applyNumberFormat="1" applyFont="1" applyFill="1" applyBorder="1" applyAlignment="1" applyProtection="1">
      <alignment horizontal="center" vertical="top" wrapText="1"/>
      <protection locked="0"/>
    </xf>
    <xf numFmtId="4" fontId="36" fillId="0" borderId="14" xfId="4" applyNumberFormat="1" applyFont="1" applyBorder="1" applyAlignment="1" applyProtection="1">
      <alignment horizontal="right" vertical="center"/>
    </xf>
    <xf numFmtId="0" fontId="51" fillId="0" borderId="4" xfId="0" applyNumberFormat="1" applyFont="1" applyFill="1" applyBorder="1" applyAlignment="1" applyProtection="1">
      <alignment horizontal="center" vertical="top" wrapText="1"/>
      <protection locked="0"/>
    </xf>
    <xf numFmtId="4" fontId="36" fillId="0" borderId="15" xfId="4" applyNumberFormat="1" applyFont="1" applyBorder="1" applyAlignment="1" applyProtection="1">
      <alignment horizontal="right" vertical="center"/>
    </xf>
    <xf numFmtId="4" fontId="54" fillId="5" borderId="15" xfId="4" applyNumberFormat="1" applyFont="1" applyFill="1" applyBorder="1" applyAlignment="1" applyProtection="1">
      <alignment horizontal="right" vertical="center"/>
      <protection locked="0"/>
    </xf>
    <xf numFmtId="164" fontId="40" fillId="5" borderId="15" xfId="4" applyNumberFormat="1" applyFont="1" applyFill="1" applyBorder="1" applyAlignment="1" applyProtection="1">
      <alignment horizontal="center" vertical="center" wrapText="1"/>
    </xf>
    <xf numFmtId="0" fontId="40" fillId="6" borderId="0" xfId="4" applyFont="1" applyFill="1" applyBorder="1" applyAlignment="1" applyProtection="1">
      <alignment horizontal="center" vertical="center" wrapText="1"/>
      <protection locked="0"/>
    </xf>
    <xf numFmtId="0" fontId="52" fillId="6" borderId="0" xfId="4" applyFont="1" applyFill="1" applyBorder="1" applyAlignment="1" applyProtection="1">
      <alignment horizontal="center" vertical="center" wrapText="1"/>
      <protection locked="0"/>
    </xf>
    <xf numFmtId="0" fontId="52" fillId="6" borderId="0" xfId="4" applyNumberFormat="1" applyFont="1" applyFill="1" applyBorder="1" applyAlignment="1" applyProtection="1">
      <alignment horizontal="left" vertical="center" wrapText="1"/>
      <protection locked="0"/>
    </xf>
    <xf numFmtId="0" fontId="36" fillId="6" borderId="0" xfId="4" applyFont="1" applyFill="1" applyBorder="1" applyAlignment="1" applyProtection="1">
      <alignment horizontal="center" vertical="center" wrapText="1"/>
      <protection locked="0"/>
    </xf>
    <xf numFmtId="0" fontId="36" fillId="6" borderId="0" xfId="4" applyFont="1" applyFill="1" applyBorder="1" applyAlignment="1" applyProtection="1">
      <alignment horizontal="center" vertical="center" wrapText="1"/>
    </xf>
    <xf numFmtId="49" fontId="40" fillId="5" borderId="0" xfId="4" applyNumberFormat="1" applyFont="1" applyFill="1" applyBorder="1" applyAlignment="1" applyProtection="1">
      <alignment horizontal="center" vertical="center" wrapText="1"/>
      <protection locked="0"/>
    </xf>
    <xf numFmtId="0" fontId="40" fillId="5" borderId="0" xfId="4" applyFont="1" applyFill="1" applyBorder="1" applyAlignment="1" applyProtection="1">
      <alignment horizontal="center" vertical="center"/>
      <protection locked="0"/>
    </xf>
    <xf numFmtId="0" fontId="36" fillId="7" borderId="0" xfId="4" applyFont="1" applyFill="1" applyBorder="1" applyAlignment="1" applyProtection="1">
      <alignment horizontal="center" vertical="center" wrapText="1"/>
      <protection locked="0"/>
    </xf>
    <xf numFmtId="2" fontId="36" fillId="5" borderId="0" xfId="4" applyNumberFormat="1" applyFont="1" applyFill="1" applyBorder="1" applyAlignment="1" applyProtection="1">
      <alignment vertical="center"/>
      <protection locked="0"/>
    </xf>
    <xf numFmtId="2" fontId="36" fillId="5" borderId="0" xfId="4" applyNumberFormat="1" applyFont="1" applyFill="1" applyBorder="1" applyAlignment="1" applyProtection="1">
      <alignment vertical="center"/>
    </xf>
    <xf numFmtId="4" fontId="53" fillId="5" borderId="0" xfId="4" applyNumberFormat="1" applyFont="1" applyFill="1" applyBorder="1" applyAlignment="1" applyProtection="1">
      <alignment horizontal="center" vertical="center"/>
    </xf>
    <xf numFmtId="4" fontId="36" fillId="0" borderId="0" xfId="4" applyNumberFormat="1" applyFont="1" applyBorder="1" applyAlignment="1" applyProtection="1">
      <alignment vertical="center"/>
    </xf>
    <xf numFmtId="4" fontId="53" fillId="5" borderId="14" xfId="4" applyNumberFormat="1" applyFont="1" applyFill="1" applyBorder="1" applyAlignment="1" applyProtection="1">
      <alignment horizontal="center" vertical="center"/>
    </xf>
    <xf numFmtId="4" fontId="54" fillId="5" borderId="19" xfId="4" applyNumberFormat="1" applyFont="1" applyFill="1" applyBorder="1" applyAlignment="1" applyProtection="1">
      <alignment horizontal="right" vertical="center"/>
      <protection locked="0"/>
    </xf>
    <xf numFmtId="4" fontId="53" fillId="5" borderId="8" xfId="4" applyNumberFormat="1" applyFont="1" applyFill="1" applyBorder="1" applyAlignment="1" applyProtection="1">
      <alignment horizontal="center" vertical="center"/>
    </xf>
    <xf numFmtId="164" fontId="40" fillId="5" borderId="39" xfId="4" applyNumberFormat="1" applyFont="1" applyFill="1" applyBorder="1" applyAlignment="1" applyProtection="1">
      <alignment horizontal="center" vertical="center" wrapText="1"/>
    </xf>
    <xf numFmtId="4" fontId="36" fillId="0" borderId="39" xfId="4" applyNumberFormat="1" applyFont="1" applyBorder="1" applyAlignment="1" applyProtection="1">
      <alignment horizontal="right" vertical="center"/>
    </xf>
    <xf numFmtId="4" fontId="54" fillId="5" borderId="39" xfId="4" applyNumberFormat="1" applyFont="1" applyFill="1" applyBorder="1" applyAlignment="1" applyProtection="1">
      <alignment horizontal="right" vertical="center"/>
      <protection locked="0"/>
    </xf>
    <xf numFmtId="4" fontId="36" fillId="0" borderId="40" xfId="4" applyNumberFormat="1" applyFont="1" applyBorder="1" applyAlignment="1" applyProtection="1">
      <alignment horizontal="right" vertical="center"/>
    </xf>
    <xf numFmtId="4" fontId="53" fillId="5" borderId="40" xfId="4" applyNumberFormat="1" applyFont="1" applyFill="1" applyBorder="1" applyAlignment="1" applyProtection="1">
      <alignment horizontal="center" vertical="center"/>
    </xf>
    <xf numFmtId="49" fontId="0" fillId="0" borderId="0" xfId="0" applyNumberFormat="1"/>
    <xf numFmtId="49" fontId="22" fillId="6" borderId="10" xfId="4" applyNumberFormat="1" applyFont="1" applyFill="1" applyBorder="1" applyAlignment="1" applyProtection="1">
      <alignment horizontal="center" vertical="center"/>
      <protection locked="0"/>
    </xf>
    <xf numFmtId="49" fontId="22" fillId="6" borderId="0" xfId="4" applyNumberFormat="1" applyFont="1" applyFill="1" applyBorder="1" applyAlignment="1" applyProtection="1">
      <alignment horizontal="center" vertical="center"/>
      <protection locked="0"/>
    </xf>
    <xf numFmtId="4" fontId="21" fillId="0" borderId="7" xfId="4" applyNumberFormat="1" applyFont="1" applyFill="1" applyBorder="1" applyAlignment="1" applyProtection="1">
      <alignment vertical="center"/>
    </xf>
    <xf numFmtId="0" fontId="51" fillId="0" borderId="7" xfId="0" applyNumberFormat="1" applyFont="1" applyFill="1" applyBorder="1" applyAlignment="1" applyProtection="1">
      <alignment horizontal="center" vertical="top" wrapText="1"/>
      <protection locked="0"/>
    </xf>
    <xf numFmtId="4" fontId="21" fillId="0" borderId="41" xfId="4" applyNumberFormat="1" applyFont="1" applyFill="1" applyBorder="1" applyAlignment="1" applyProtection="1">
      <alignment vertical="center"/>
    </xf>
    <xf numFmtId="0" fontId="22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3" fillId="3" borderId="0" xfId="0" applyNumberFormat="1" applyFont="1" applyFill="1" applyBorder="1" applyAlignment="1" applyProtection="1">
      <alignment horizontal="center" vertical="center" wrapText="1"/>
    </xf>
    <xf numFmtId="0" fontId="23" fillId="3" borderId="0" xfId="0" applyNumberFormat="1" applyFont="1" applyFill="1" applyBorder="1" applyAlignment="1" applyProtection="1">
      <alignment horizontal="left" vertical="center" wrapText="1"/>
    </xf>
    <xf numFmtId="0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4" xfId="0" applyNumberFormat="1" applyFont="1" applyFill="1" applyBorder="1" applyAlignment="1" applyProtection="1">
      <alignment horizontal="right" vertical="top"/>
    </xf>
    <xf numFmtId="4" fontId="22" fillId="0" borderId="15" xfId="0" applyNumberFormat="1" applyFont="1" applyFill="1" applyBorder="1" applyAlignment="1" applyProtection="1">
      <alignment horizontal="right" vertical="center"/>
    </xf>
    <xf numFmtId="167" fontId="22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protection locked="0"/>
    </xf>
    <xf numFmtId="2" fontId="22" fillId="0" borderId="0" xfId="0" applyNumberFormat="1" applyFont="1" applyFill="1" applyBorder="1" applyAlignment="1" applyProtection="1"/>
    <xf numFmtId="0" fontId="53" fillId="0" borderId="14" xfId="0" applyNumberFormat="1" applyFont="1" applyFill="1" applyBorder="1" applyAlignment="1" applyProtection="1">
      <alignment horizontal="center" vertical="center"/>
    </xf>
    <xf numFmtId="0" fontId="21" fillId="0" borderId="15" xfId="0" applyNumberFormat="1" applyFont="1" applyFill="1" applyBorder="1" applyAlignment="1" applyProtection="1">
      <protection locked="0"/>
    </xf>
    <xf numFmtId="0" fontId="53" fillId="0" borderId="14" xfId="0" applyNumberFormat="1" applyFont="1" applyFill="1" applyBorder="1" applyAlignment="1" applyProtection="1">
      <alignment horizontal="center"/>
      <protection locked="0"/>
    </xf>
    <xf numFmtId="0" fontId="21" fillId="0" borderId="19" xfId="0" applyNumberFormat="1" applyFont="1" applyFill="1" applyBorder="1" applyAlignment="1" applyProtection="1">
      <protection locked="0"/>
    </xf>
    <xf numFmtId="0" fontId="22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NumberFormat="1" applyFont="1" applyFill="1" applyBorder="1" applyAlignment="1" applyProtection="1"/>
    <xf numFmtId="4" fontId="21" fillId="0" borderId="0" xfId="0" applyNumberFormat="1" applyFont="1" applyFill="1" applyBorder="1" applyAlignment="1" applyProtection="1"/>
    <xf numFmtId="0" fontId="15" fillId="0" borderId="41" xfId="0" applyFont="1" applyBorder="1"/>
    <xf numFmtId="49" fontId="22" fillId="6" borderId="35" xfId="4" applyNumberFormat="1" applyFont="1" applyFill="1" applyBorder="1" applyAlignment="1" applyProtection="1">
      <alignment horizontal="center" vertical="center" wrapText="1"/>
    </xf>
    <xf numFmtId="4" fontId="36" fillId="0" borderId="10" xfId="4" applyNumberFormat="1" applyFont="1" applyBorder="1" applyAlignment="1" applyProtection="1">
      <alignment horizontal="right" vertical="center"/>
    </xf>
    <xf numFmtId="4" fontId="36" fillId="0" borderId="34" xfId="4" applyNumberFormat="1" applyFont="1" applyBorder="1" applyAlignment="1" applyProtection="1">
      <alignment horizontal="right" vertical="center"/>
    </xf>
    <xf numFmtId="0" fontId="22" fillId="0" borderId="42" xfId="0" applyNumberFormat="1" applyFont="1" applyFill="1" applyBorder="1" applyAlignment="1" applyProtection="1">
      <alignment horizontal="right" vertical="top"/>
    </xf>
    <xf numFmtId="4" fontId="22" fillId="0" borderId="43" xfId="0" applyNumberFormat="1" applyFont="1" applyFill="1" applyBorder="1" applyAlignment="1" applyProtection="1">
      <alignment horizontal="right" vertical="center"/>
    </xf>
    <xf numFmtId="4" fontId="22" fillId="0" borderId="44" xfId="0" applyNumberFormat="1" applyFont="1" applyFill="1" applyBorder="1" applyAlignment="1" applyProtection="1">
      <alignment horizontal="right" vertical="center"/>
    </xf>
    <xf numFmtId="4" fontId="11" fillId="5" borderId="21" xfId="4" applyNumberFormat="1" applyFont="1" applyFill="1" applyBorder="1" applyAlignment="1" applyProtection="1">
      <alignment horizontal="right" vertical="center"/>
      <protection locked="0"/>
    </xf>
    <xf numFmtId="4" fontId="36" fillId="0" borderId="38" xfId="4" applyNumberFormat="1" applyFont="1" applyBorder="1" applyAlignment="1" applyProtection="1">
      <alignment horizontal="right" vertical="center"/>
    </xf>
    <xf numFmtId="4" fontId="36" fillId="0" borderId="9" xfId="4" applyNumberFormat="1" applyFont="1" applyBorder="1" applyAlignment="1" applyProtection="1">
      <alignment horizontal="right" vertical="center"/>
    </xf>
    <xf numFmtId="49" fontId="22" fillId="6" borderId="39" xfId="4" applyNumberFormat="1" applyFont="1" applyFill="1" applyBorder="1" applyAlignment="1" applyProtection="1">
      <alignment horizontal="center" vertical="center" wrapText="1"/>
    </xf>
    <xf numFmtId="0" fontId="36" fillId="5" borderId="10" xfId="4" applyFont="1" applyFill="1" applyBorder="1" applyAlignment="1" applyProtection="1">
      <alignment horizontal="center" vertical="center"/>
      <protection locked="0"/>
    </xf>
    <xf numFmtId="14" fontId="36" fillId="5" borderId="10" xfId="4" applyNumberFormat="1" applyFont="1" applyFill="1" applyBorder="1" applyAlignment="1" applyProtection="1">
      <alignment horizontal="center" vertical="center"/>
      <protection locked="0"/>
    </xf>
    <xf numFmtId="0" fontId="37" fillId="0" borderId="0" xfId="4" applyFont="1" applyBorder="1" applyAlignment="1" applyProtection="1">
      <alignment vertical="center"/>
      <protection locked="0"/>
    </xf>
    <xf numFmtId="0" fontId="36" fillId="6" borderId="10" xfId="4" applyNumberFormat="1" applyFont="1" applyFill="1" applyBorder="1" applyAlignment="1" applyProtection="1">
      <alignment horizontal="center" vertical="center"/>
      <protection locked="0"/>
    </xf>
    <xf numFmtId="0" fontId="36" fillId="0" borderId="0" xfId="4" applyFont="1" applyFill="1" applyBorder="1" applyAlignment="1" applyProtection="1">
      <alignment horizontal="right" vertical="center"/>
      <protection locked="0"/>
    </xf>
    <xf numFmtId="0" fontId="41" fillId="0" borderId="0" xfId="4" applyFont="1" applyFill="1" applyBorder="1" applyAlignment="1" applyProtection="1">
      <alignment horizontal="center" vertical="center"/>
      <protection locked="0"/>
    </xf>
    <xf numFmtId="0" fontId="37" fillId="0" borderId="0" xfId="4" applyFont="1" applyFill="1" applyProtection="1">
      <protection locked="0"/>
    </xf>
    <xf numFmtId="0" fontId="36" fillId="0" borderId="0" xfId="4" applyFont="1" applyFill="1" applyBorder="1" applyAlignment="1" applyProtection="1">
      <alignment horizontal="center" vertical="center"/>
      <protection locked="0"/>
    </xf>
    <xf numFmtId="168" fontId="40" fillId="0" borderId="0" xfId="5" applyNumberFormat="1" applyFont="1" applyFill="1" applyBorder="1" applyAlignment="1" applyProtection="1">
      <alignment horizontal="right" vertical="center"/>
      <protection locked="0"/>
    </xf>
    <xf numFmtId="0" fontId="23" fillId="6" borderId="9" xfId="4" applyNumberFormat="1" applyFont="1" applyFill="1" applyBorder="1" applyAlignment="1" applyProtection="1">
      <alignment horizontal="left" vertical="center" wrapText="1"/>
      <protection locked="0"/>
    </xf>
    <xf numFmtId="0" fontId="23" fillId="6" borderId="0" xfId="4" applyNumberFormat="1" applyFont="1" applyFill="1" applyBorder="1" applyAlignment="1" applyProtection="1">
      <alignment horizontal="left" vertical="center" wrapText="1"/>
      <protection locked="0"/>
    </xf>
    <xf numFmtId="49" fontId="11" fillId="0" borderId="45" xfId="0" applyNumberFormat="1" applyFont="1" applyFill="1" applyBorder="1" applyAlignment="1">
      <alignment horizontal="left" vertical="center" wrapText="1"/>
    </xf>
    <xf numFmtId="178" fontId="11" fillId="0" borderId="45" xfId="0" applyNumberFormat="1" applyFont="1" applyFill="1" applyBorder="1" applyAlignment="1">
      <alignment horizontal="left" vertical="center" wrapText="1"/>
    </xf>
    <xf numFmtId="0" fontId="11" fillId="0" borderId="45" xfId="0" applyFont="1" applyFill="1" applyBorder="1" applyAlignment="1">
      <alignment horizontal="center" vertical="center" wrapText="1"/>
    </xf>
    <xf numFmtId="179" fontId="11" fillId="0" borderId="45" xfId="0" applyNumberFormat="1" applyFont="1" applyFill="1" applyBorder="1" applyAlignment="1">
      <alignment horizontal="right" vertical="center" wrapText="1"/>
    </xf>
    <xf numFmtId="10" fontId="11" fillId="0" borderId="45" xfId="0" applyNumberFormat="1" applyFont="1" applyFill="1" applyBorder="1" applyAlignment="1">
      <alignment horizontal="right" vertical="center" wrapText="1"/>
    </xf>
    <xf numFmtId="49" fontId="56" fillId="0" borderId="45" xfId="0" applyNumberFormat="1" applyFont="1" applyFill="1" applyBorder="1" applyAlignment="1">
      <alignment horizontal="center" vertical="center" wrapText="1"/>
    </xf>
    <xf numFmtId="0" fontId="56" fillId="0" borderId="45" xfId="0" applyFont="1" applyFill="1" applyBorder="1" applyAlignment="1">
      <alignment horizontal="center" vertical="center" wrapText="1"/>
    </xf>
    <xf numFmtId="49" fontId="56" fillId="0" borderId="45" xfId="0" applyNumberFormat="1" applyFont="1" applyFill="1" applyBorder="1" applyAlignment="1">
      <alignment horizontal="left" vertical="center" wrapText="1"/>
    </xf>
    <xf numFmtId="179" fontId="56" fillId="0" borderId="45" xfId="0" applyNumberFormat="1" applyFont="1" applyFill="1" applyBorder="1" applyAlignment="1">
      <alignment horizontal="right" vertical="center" wrapText="1"/>
    </xf>
    <xf numFmtId="0" fontId="11" fillId="0" borderId="0" xfId="0" applyFont="1" applyFill="1" applyBorder="1" applyAlignment="1">
      <alignment horizontal="center" vertical="center" wrapText="1"/>
    </xf>
    <xf numFmtId="10" fontId="11" fillId="0" borderId="0" xfId="0" applyNumberFormat="1" applyFont="1" applyFill="1" applyBorder="1" applyAlignment="1">
      <alignment horizontal="right" vertical="center" wrapText="1"/>
    </xf>
    <xf numFmtId="0" fontId="16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15" fillId="4" borderId="20" xfId="0" applyNumberFormat="1" applyFont="1" applyFill="1" applyBorder="1" applyAlignment="1">
      <alignment horizontal="left" vertical="center"/>
    </xf>
    <xf numFmtId="0" fontId="15" fillId="0" borderId="0" xfId="0" applyFont="1" applyBorder="1" applyAlignment="1">
      <alignment horizontal="right" vertical="center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10" fontId="15" fillId="6" borderId="20" xfId="0" applyNumberFormat="1" applyFont="1" applyFill="1" applyBorder="1" applyAlignment="1">
      <alignment horizontal="center" vertical="center"/>
    </xf>
    <xf numFmtId="10" fontId="15" fillId="6" borderId="21" xfId="0" applyNumberFormat="1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171" fontId="15" fillId="6" borderId="20" xfId="0" applyNumberFormat="1" applyFont="1" applyFill="1" applyBorder="1" applyAlignment="1">
      <alignment horizontal="center" vertical="center"/>
    </xf>
    <xf numFmtId="10" fontId="15" fillId="6" borderId="20" xfId="10" applyNumberFormat="1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vertical="center"/>
    </xf>
    <xf numFmtId="0" fontId="15" fillId="6" borderId="20" xfId="0" applyFont="1" applyFill="1" applyBorder="1" applyAlignment="1">
      <alignment vertical="center"/>
    </xf>
    <xf numFmtId="174" fontId="15" fillId="6" borderId="2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 vertical="center"/>
    </xf>
    <xf numFmtId="170" fontId="15" fillId="6" borderId="2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14" fontId="25" fillId="6" borderId="2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4" fillId="0" borderId="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15" fillId="0" borderId="0" xfId="0" applyNumberFormat="1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5" fillId="6" borderId="20" xfId="0" applyFont="1" applyFill="1" applyBorder="1" applyAlignment="1">
      <alignment horizontal="left" vertical="center" wrapText="1"/>
    </xf>
    <xf numFmtId="0" fontId="24" fillId="6" borderId="21" xfId="0" applyFont="1" applyFill="1" applyBorder="1" applyAlignment="1">
      <alignment horizontal="left" vertical="center"/>
    </xf>
    <xf numFmtId="0" fontId="24" fillId="6" borderId="3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center" vertical="center"/>
    </xf>
    <xf numFmtId="4" fontId="16" fillId="0" borderId="0" xfId="0" applyNumberFormat="1" applyFont="1" applyBorder="1" applyAlignment="1">
      <alignment horizontal="center" vertical="center"/>
    </xf>
    <xf numFmtId="0" fontId="15" fillId="4" borderId="20" xfId="0" applyFont="1" applyFill="1" applyBorder="1" applyAlignment="1">
      <alignment horizontal="left" vertical="center"/>
    </xf>
    <xf numFmtId="0" fontId="15" fillId="4" borderId="20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173" fontId="15" fillId="4" borderId="20" xfId="0" applyNumberFormat="1" applyFont="1" applyFill="1" applyBorder="1" applyAlignment="1">
      <alignment horizontal="left" vertical="center"/>
    </xf>
    <xf numFmtId="173" fontId="15" fillId="4" borderId="21" xfId="0" applyNumberFormat="1" applyFont="1" applyFill="1" applyBorder="1" applyAlignment="1">
      <alignment horizontal="left" vertical="center"/>
    </xf>
    <xf numFmtId="0" fontId="16" fillId="0" borderId="23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left" wrapText="1"/>
    </xf>
    <xf numFmtId="0" fontId="15" fillId="0" borderId="2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72" fontId="15" fillId="6" borderId="0" xfId="0" applyNumberFormat="1" applyFont="1" applyFill="1" applyAlignment="1">
      <alignment horizontal="left" vertical="center"/>
    </xf>
    <xf numFmtId="0" fontId="15" fillId="0" borderId="20" xfId="0" applyNumberFormat="1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0" xfId="0" applyNumberFormat="1" applyFont="1" applyBorder="1" applyAlignment="1">
      <alignment horizontal="center" vertical="center"/>
    </xf>
    <xf numFmtId="0" fontId="17" fillId="0" borderId="19" xfId="0" applyNumberFormat="1" applyFont="1" applyBorder="1" applyAlignment="1">
      <alignment horizontal="center" vertical="center"/>
    </xf>
    <xf numFmtId="0" fontId="39" fillId="0" borderId="0" xfId="4" applyFont="1" applyAlignment="1" applyProtection="1">
      <alignment horizontal="center" vertical="center"/>
      <protection locked="0"/>
    </xf>
    <xf numFmtId="164" fontId="39" fillId="0" borderId="1" xfId="4" applyNumberFormat="1" applyFont="1" applyBorder="1" applyAlignment="1" applyProtection="1">
      <alignment horizontal="center" vertical="center"/>
      <protection locked="0"/>
    </xf>
    <xf numFmtId="0" fontId="39" fillId="0" borderId="1" xfId="4" applyFont="1" applyBorder="1" applyAlignment="1" applyProtection="1">
      <alignment horizontal="center" vertical="center"/>
      <protection locked="0"/>
    </xf>
    <xf numFmtId="175" fontId="39" fillId="0" borderId="1" xfId="4" applyNumberFormat="1" applyFont="1" applyBorder="1" applyAlignment="1" applyProtection="1">
      <alignment horizontal="center" vertical="center"/>
      <protection locked="0"/>
    </xf>
    <xf numFmtId="0" fontId="39" fillId="0" borderId="1" xfId="4" applyFont="1" applyBorder="1" applyAlignment="1" applyProtection="1">
      <alignment horizontal="center" vertical="center" wrapText="1"/>
      <protection locked="0"/>
    </xf>
    <xf numFmtId="0" fontId="39" fillId="0" borderId="2" xfId="4" applyFont="1" applyBorder="1" applyAlignment="1" applyProtection="1">
      <alignment horizontal="center" vertical="center" wrapText="1"/>
      <protection locked="0"/>
    </xf>
    <xf numFmtId="164" fontId="47" fillId="0" borderId="1" xfId="4" applyNumberFormat="1" applyFont="1" applyBorder="1" applyAlignment="1" applyProtection="1">
      <alignment horizontal="center" vertical="center" wrapText="1"/>
    </xf>
    <xf numFmtId="164" fontId="47" fillId="0" borderId="9" xfId="4" applyNumberFormat="1" applyFont="1" applyBorder="1" applyAlignment="1" applyProtection="1">
      <alignment horizontal="center" vertical="center" wrapText="1"/>
    </xf>
    <xf numFmtId="10" fontId="39" fillId="0" borderId="1" xfId="4" applyNumberFormat="1" applyFont="1" applyBorder="1" applyAlignment="1" applyProtection="1">
      <alignment horizontal="center" vertical="center"/>
      <protection locked="0"/>
    </xf>
    <xf numFmtId="10" fontId="39" fillId="0" borderId="21" xfId="4" applyNumberFormat="1" applyFont="1" applyBorder="1" applyAlignment="1" applyProtection="1">
      <alignment horizontal="center" vertical="center"/>
      <protection locked="0"/>
    </xf>
    <xf numFmtId="164" fontId="39" fillId="0" borderId="1" xfId="4" applyNumberFormat="1" applyFont="1" applyFill="1" applyBorder="1" applyAlignment="1" applyProtection="1">
      <alignment horizontal="center" vertical="center"/>
      <protection hidden="1"/>
    </xf>
    <xf numFmtId="0" fontId="21" fillId="0" borderId="0" xfId="4" applyFont="1" applyBorder="1" applyAlignment="1" applyProtection="1">
      <alignment horizontal="right" vertical="center"/>
      <protection locked="0"/>
    </xf>
    <xf numFmtId="164" fontId="39" fillId="0" borderId="4" xfId="4" applyNumberFormat="1" applyFont="1" applyBorder="1" applyAlignment="1" applyProtection="1">
      <alignment horizontal="center" vertical="center"/>
    </xf>
    <xf numFmtId="164" fontId="39" fillId="0" borderId="19" xfId="4" applyNumberFormat="1" applyFont="1" applyBorder="1" applyAlignment="1" applyProtection="1">
      <alignment horizontal="center" vertical="center"/>
    </xf>
    <xf numFmtId="164" fontId="39" fillId="0" borderId="8" xfId="4" applyNumberFormat="1" applyFont="1" applyBorder="1" applyAlignment="1" applyProtection="1">
      <alignment horizontal="center" vertical="center"/>
    </xf>
    <xf numFmtId="164" fontId="39" fillId="0" borderId="31" xfId="4" applyNumberFormat="1" applyFont="1" applyBorder="1" applyAlignment="1" applyProtection="1">
      <alignment horizontal="center" vertical="center"/>
    </xf>
    <xf numFmtId="164" fontId="39" fillId="0" borderId="0" xfId="4" applyNumberFormat="1" applyFont="1" applyBorder="1" applyAlignment="1" applyProtection="1">
      <alignment horizontal="center" vertical="center"/>
    </xf>
    <xf numFmtId="164" fontId="39" fillId="0" borderId="30" xfId="4" applyNumberFormat="1" applyFont="1" applyBorder="1" applyAlignment="1" applyProtection="1">
      <alignment horizontal="center" vertical="center"/>
    </xf>
    <xf numFmtId="164" fontId="48" fillId="0" borderId="1" xfId="4" applyNumberFormat="1" applyFont="1" applyBorder="1" applyAlignment="1" applyProtection="1">
      <alignment horizontal="center" vertical="center"/>
      <protection locked="0"/>
    </xf>
    <xf numFmtId="14" fontId="39" fillId="0" borderId="1" xfId="4" applyNumberFormat="1" applyFont="1" applyBorder="1" applyAlignment="1" applyProtection="1">
      <alignment horizontal="center" vertical="center" wrapText="1"/>
      <protection locked="0"/>
    </xf>
    <xf numFmtId="14" fontId="39" fillId="0" borderId="3" xfId="4" applyNumberFormat="1" applyFont="1" applyBorder="1" applyAlignment="1" applyProtection="1">
      <alignment horizontal="center" vertical="center" wrapText="1"/>
      <protection locked="0"/>
    </xf>
    <xf numFmtId="164" fontId="48" fillId="0" borderId="2" xfId="4" applyNumberFormat="1" applyFont="1" applyBorder="1" applyAlignment="1" applyProtection="1">
      <alignment horizontal="center" vertical="center"/>
      <protection locked="0"/>
    </xf>
    <xf numFmtId="0" fontId="47" fillId="0" borderId="10" xfId="4" applyFont="1" applyBorder="1" applyAlignment="1" applyProtection="1">
      <alignment horizontal="center" vertical="center"/>
      <protection locked="0"/>
    </xf>
    <xf numFmtId="0" fontId="39" fillId="0" borderId="10" xfId="4" applyFont="1" applyBorder="1" applyAlignment="1" applyProtection="1">
      <alignment horizontal="center" vertical="center" wrapText="1"/>
      <protection locked="0"/>
    </xf>
    <xf numFmtId="0" fontId="47" fillId="0" borderId="1" xfId="4" applyFont="1" applyBorder="1" applyAlignment="1" applyProtection="1">
      <alignment horizontal="center" vertical="center"/>
      <protection locked="0"/>
    </xf>
    <xf numFmtId="164" fontId="39" fillId="0" borderId="32" xfId="4" applyNumberFormat="1" applyFont="1" applyBorder="1" applyAlignment="1" applyProtection="1">
      <alignment horizontal="center" vertical="center" wrapText="1"/>
      <protection locked="0"/>
    </xf>
    <xf numFmtId="164" fontId="39" fillId="0" borderId="34" xfId="4" applyNumberFormat="1" applyFont="1" applyBorder="1" applyAlignment="1" applyProtection="1">
      <alignment horizontal="center" vertical="center" wrapText="1"/>
      <protection locked="0"/>
    </xf>
    <xf numFmtId="0" fontId="47" fillId="0" borderId="37" xfId="4" applyFont="1" applyBorder="1" applyAlignment="1" applyProtection="1">
      <alignment horizontal="center" vertical="center"/>
      <protection locked="0"/>
    </xf>
    <xf numFmtId="0" fontId="47" fillId="0" borderId="2" xfId="4" applyFont="1" applyBorder="1" applyAlignment="1" applyProtection="1">
      <alignment horizontal="center" vertical="center"/>
      <protection locked="0"/>
    </xf>
    <xf numFmtId="0" fontId="47" fillId="0" borderId="36" xfId="4" applyFont="1" applyBorder="1" applyAlignment="1" applyProtection="1">
      <alignment horizontal="center" vertical="center"/>
      <protection locked="0"/>
    </xf>
    <xf numFmtId="0" fontId="47" fillId="0" borderId="3" xfId="4" applyFont="1" applyBorder="1" applyAlignment="1" applyProtection="1">
      <alignment horizontal="center" vertical="center"/>
      <protection locked="0"/>
    </xf>
    <xf numFmtId="164" fontId="39" fillId="2" borderId="33" xfId="4" applyNumberFormat="1" applyFont="1" applyFill="1" applyBorder="1" applyAlignment="1" applyProtection="1">
      <alignment horizontal="center" vertical="center" wrapText="1"/>
      <protection locked="0"/>
    </xf>
    <xf numFmtId="164" fontId="39" fillId="2" borderId="35" xfId="4" applyNumberFormat="1" applyFont="1" applyFill="1" applyBorder="1" applyAlignment="1" applyProtection="1">
      <alignment horizontal="center" vertical="center" wrapText="1"/>
      <protection locked="0"/>
    </xf>
    <xf numFmtId="0" fontId="47" fillId="0" borderId="9" xfId="4" applyFont="1" applyBorder="1" applyAlignment="1" applyProtection="1">
      <alignment horizontal="center" vertical="center"/>
      <protection locked="0"/>
    </xf>
    <xf numFmtId="179" fontId="11" fillId="0" borderId="49" xfId="0" applyNumberFormat="1" applyFont="1" applyFill="1" applyBorder="1" applyAlignment="1">
      <alignment horizontal="right" vertical="center" wrapText="1"/>
    </xf>
    <xf numFmtId="179" fontId="11" fillId="0" borderId="50" xfId="0" applyNumberFormat="1" applyFont="1" applyFill="1" applyBorder="1" applyAlignment="1">
      <alignment horizontal="right" vertical="center" wrapText="1"/>
    </xf>
    <xf numFmtId="179" fontId="11" fillId="0" borderId="51" xfId="0" applyNumberFormat="1" applyFont="1" applyFill="1" applyBorder="1" applyAlignment="1">
      <alignment horizontal="right" vertical="center" wrapText="1"/>
    </xf>
    <xf numFmtId="178" fontId="56" fillId="0" borderId="46" xfId="0" applyNumberFormat="1" applyFont="1" applyFill="1" applyBorder="1" applyAlignment="1">
      <alignment horizontal="left" vertical="center" wrapText="1"/>
    </xf>
    <xf numFmtId="178" fontId="11" fillId="0" borderId="47" xfId="0" applyNumberFormat="1" applyFont="1" applyFill="1" applyBorder="1" applyAlignment="1">
      <alignment horizontal="left" vertical="center" wrapText="1"/>
    </xf>
    <xf numFmtId="178" fontId="11" fillId="0" borderId="48" xfId="0" applyNumberFormat="1" applyFont="1" applyFill="1" applyBorder="1" applyAlignment="1">
      <alignment horizontal="left" vertical="center" wrapText="1"/>
    </xf>
    <xf numFmtId="179" fontId="56" fillId="0" borderId="46" xfId="0" applyNumberFormat="1" applyFont="1" applyFill="1" applyBorder="1" applyAlignment="1">
      <alignment horizontal="right" vertical="center" wrapText="1"/>
    </xf>
    <xf numFmtId="179" fontId="56" fillId="0" borderId="47" xfId="0" applyNumberFormat="1" applyFont="1" applyFill="1" applyBorder="1" applyAlignment="1">
      <alignment horizontal="right" vertical="center" wrapText="1"/>
    </xf>
    <xf numFmtId="179" fontId="56" fillId="0" borderId="48" xfId="0" applyNumberFormat="1" applyFont="1" applyFill="1" applyBorder="1" applyAlignment="1">
      <alignment horizontal="right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50" xfId="0" applyFont="1" applyFill="1" applyBorder="1" applyAlignment="1">
      <alignment horizontal="center" vertical="center" wrapText="1"/>
    </xf>
    <xf numFmtId="0" fontId="11" fillId="0" borderId="51" xfId="0" applyFont="1" applyFill="1" applyBorder="1" applyAlignment="1">
      <alignment horizontal="center" vertical="center" wrapText="1"/>
    </xf>
    <xf numFmtId="178" fontId="56" fillId="0" borderId="45" xfId="0" applyNumberFormat="1" applyFont="1" applyFill="1" applyBorder="1" applyAlignment="1">
      <alignment horizontal="left" vertical="center" wrapText="1"/>
    </xf>
  </cellXfs>
  <cellStyles count="12">
    <cellStyle name="ColLevel_2" xfId="8"/>
    <cellStyle name="Excel Built-in Normal" xfId="2"/>
    <cellStyle name="Normal_Speca_template_final1" xfId="11"/>
    <cellStyle name="Денежный 2" xfId="5"/>
    <cellStyle name="Обычный" xfId="0" builtinId="0"/>
    <cellStyle name="Обычный 2" xfId="1"/>
    <cellStyle name="Обычный 3" xfId="3"/>
    <cellStyle name="Обычный 4" xfId="4"/>
    <cellStyle name="Обычный 5" xfId="7"/>
    <cellStyle name="Обычный 6" xfId="9"/>
    <cellStyle name="Процентный" xfId="10" builtinId="5"/>
    <cellStyle name="Процентный 2" xfId="6"/>
  </cellStyles>
  <dxfs count="109">
    <dxf>
      <fill>
        <patternFill>
          <bgColor rgb="FFF0F0FF"/>
        </patternFill>
      </fill>
    </dxf>
    <dxf>
      <fill>
        <patternFill>
          <bgColor rgb="FFF0FFF0"/>
        </patternFill>
      </fill>
    </dxf>
    <dxf>
      <fill>
        <patternFill>
          <bgColor rgb="FFF0F0FF"/>
        </patternFill>
      </fill>
    </dxf>
    <dxf>
      <fill>
        <patternFill>
          <bgColor rgb="FFF0FFF0"/>
        </patternFill>
      </fill>
    </dxf>
    <dxf>
      <font>
        <color rgb="FFFF5050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b val="0"/>
        <i/>
        <u/>
      </font>
    </dxf>
    <dxf>
      <font>
        <b/>
        <i val="0"/>
      </font>
    </dxf>
    <dxf>
      <numFmt numFmtId="180" formatCode="&quot;&quot;"/>
    </dxf>
    <dxf>
      <numFmt numFmtId="181" formatCode="#,##0.00\ &quot;$&quot;_-;[Red]\-#,##0.00\ &quot;$&quot;_-;&quot;-&quot;??\ &quot;$&quot;_-"/>
    </dxf>
    <dxf>
      <numFmt numFmtId="182" formatCode="#,##0.00\ [$€-1]_-;[Red]\-#,##0.00\ [$€-1]_-;&quot;-&quot;??\ [$€-1]_-"/>
    </dxf>
    <dxf>
      <numFmt numFmtId="180" formatCode="&quot;&quot;"/>
    </dxf>
    <dxf>
      <numFmt numFmtId="181" formatCode="#,##0.00\ &quot;$&quot;_-;[Red]\-#,##0.00\ &quot;$&quot;_-;&quot;-&quot;??\ &quot;$&quot;_-"/>
    </dxf>
    <dxf>
      <numFmt numFmtId="182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69" formatCode="#,##0.00\ [$₽-419]_-;[Red]\-#,##0.00\ [$₽-419]_-;&quot;-&quot;??\ [$₽-419]_-"/>
    </dxf>
    <dxf>
      <font>
        <color theme="0" tint="-0.34998626667073579"/>
      </font>
    </dxf>
    <dxf>
      <numFmt numFmtId="181" formatCode="#,##0.00\ &quot;$&quot;_-;[Red]\-#,##0.00\ &quot;$&quot;_-;&quot;-&quot;??\ &quot;$&quot;_-"/>
    </dxf>
    <dxf>
      <numFmt numFmtId="182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83" formatCode="#,##0.00\ [$₽-419];[Red]\-#,##0.00\ [$₽-419]"/>
    </dxf>
    <dxf>
      <numFmt numFmtId="184" formatCode="#,##0.00\ [$€-1]_ ;[Red]\-#,##0.00\ [$€-1]\ "/>
    </dxf>
    <dxf>
      <numFmt numFmtId="181" formatCode="#,##0.00\ &quot;$&quot;_-;[Red]\-#,##0.00\ &quot;$&quot;_-;&quot;-&quot;??\ &quot;$&quot;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0.00%;[Red]\-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solid">
          <fgColor indexed="64"/>
          <bgColor rgb="FFFFF2E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0"/>
        <color theme="1"/>
        <name val="Centur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4" formatCode="[$$-1009]#,##0.00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0"/>
        <color theme="5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sz val="10"/>
        <color rgb="FF000000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/>
        <sz val="10"/>
        <color theme="5"/>
        <name val="Century Gothic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0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0.00%;[Red]\-0.00%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sz val="10"/>
        <name val="Century Gothic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z val="10"/>
        <color rgb="FF222222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sz val="10"/>
        <color rgb="FF222222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sz val="10"/>
        <name val="Century Gothic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0"/>
        <name val="Century Gothic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name val="Century Gothic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1">
      <tableStyleElement type="wholeTable" dxfId="108"/>
    </tableStyle>
  </tableStyles>
  <colors>
    <mruColors>
      <color rgb="FFFF5050"/>
      <color rgb="FFFFCCCC"/>
      <color rgb="FFFFF2E5"/>
      <color rgb="FFF1F5F9"/>
      <color rgb="FFEDF7EF"/>
      <color rgb="FFCCFF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3" dropStyle="combo" dx="26" fmlaLink="#REF!" fmlaRange="НДС" noThreeD="1" sel="2" val="0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Drop" dropStyle="combo" dx="26" fmlaRange="валюта" noThreeD="1" sel="3" val="0"/>
</file>

<file path=xl/ctrlProps/ctrlProp21.xml><?xml version="1.0" encoding="utf-8"?>
<formControlPr xmlns="http://schemas.microsoft.com/office/spreadsheetml/2009/9/main" objectType="Radio" checked="Checked" firstButton="1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checked="Checked" firstButton="1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9</xdr:col>
      <xdr:colOff>470919</xdr:colOff>
      <xdr:row>23</xdr:row>
      <xdr:rowOff>158499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2933700"/>
          <a:ext cx="1438659" cy="14386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12</xdr:row>
          <xdr:rowOff>28575</xdr:rowOff>
        </xdr:from>
        <xdr:to>
          <xdr:col>2</xdr:col>
          <xdr:colOff>1628775</xdr:colOff>
          <xdr:row>14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Заменить кириллицу на латиницу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2152650</xdr:colOff>
          <xdr:row>12</xdr:row>
          <xdr:rowOff>38100</xdr:rowOff>
        </xdr:from>
        <xdr:to>
          <xdr:col>3</xdr:col>
          <xdr:colOff>3343275</xdr:colOff>
          <xdr:row>14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служебные символы и лишние пробелы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43</xdr:row>
          <xdr:rowOff>19050</xdr:rowOff>
        </xdr:from>
        <xdr:to>
          <xdr:col>1</xdr:col>
          <xdr:colOff>628650</xdr:colOff>
          <xdr:row>43</xdr:row>
          <xdr:rowOff>171450</xdr:rowOff>
        </xdr:to>
        <xdr:sp macro="" textlink="">
          <xdr:nvSpPr>
            <xdr:cNvPr id="2060" name="Кнопка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43</xdr:row>
          <xdr:rowOff>19050</xdr:rowOff>
        </xdr:from>
        <xdr:to>
          <xdr:col>1</xdr:col>
          <xdr:colOff>1219200</xdr:colOff>
          <xdr:row>43</xdr:row>
          <xdr:rowOff>171450</xdr:rowOff>
        </xdr:to>
        <xdr:sp macro="" textlink="">
          <xdr:nvSpPr>
            <xdr:cNvPr id="2063" name="Кнопка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304800</xdr:rowOff>
        </xdr:from>
        <xdr:to>
          <xdr:col>1</xdr:col>
          <xdr:colOff>628650</xdr:colOff>
          <xdr:row>14</xdr:row>
          <xdr:rowOff>123825</xdr:rowOff>
        </xdr:to>
        <xdr:sp macro="" textlink="">
          <xdr:nvSpPr>
            <xdr:cNvPr id="2822" name="Кнопка 12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2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13</xdr:row>
          <xdr:rowOff>304800</xdr:rowOff>
        </xdr:from>
        <xdr:to>
          <xdr:col>1</xdr:col>
          <xdr:colOff>1228725</xdr:colOff>
          <xdr:row>14</xdr:row>
          <xdr:rowOff>123825</xdr:rowOff>
        </xdr:to>
        <xdr:sp macro="" textlink="">
          <xdr:nvSpPr>
            <xdr:cNvPr id="2823" name="Кнопка 12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2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152400</xdr:colOff>
      <xdr:row>1</xdr:row>
      <xdr:rowOff>63500</xdr:rowOff>
    </xdr:from>
    <xdr:to>
      <xdr:col>5</xdr:col>
      <xdr:colOff>41275</xdr:colOff>
      <xdr:row>16</xdr:row>
      <xdr:rowOff>177800</xdr:rowOff>
    </xdr:to>
    <xdr:sp macro="" textlink="">
      <xdr:nvSpPr>
        <xdr:cNvPr id="2" name="Доска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2000" y="254000"/>
          <a:ext cx="3937000" cy="2971800"/>
        </a:xfrm>
        <a:prstGeom prst="roundRect">
          <a:avLst>
            <a:gd name="adj" fmla="val 2000"/>
          </a:avLst>
        </a:prstGeom>
        <a:solidFill>
          <a:srgbClr val="FFFFFF"/>
        </a:solidFill>
        <a:ln w="38100" cmpd="thinThick">
          <a:solidFill>
            <a:srgbClr val="000000"/>
          </a:solidFill>
          <a:prstDash val="soli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257175</xdr:colOff>
          <xdr:row>1</xdr:row>
          <xdr:rowOff>161925</xdr:rowOff>
        </xdr:from>
        <xdr:to>
          <xdr:col>4</xdr:col>
          <xdr:colOff>1438275</xdr:colOff>
          <xdr:row>13</xdr:row>
          <xdr:rowOff>114300</xdr:rowOff>
        </xdr:to>
        <xdr:grpSp>
          <xdr:nvGrpSpPr>
            <xdr:cNvPr id="6" name="Колонки таблицы КП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pSpPr/>
          </xdr:nvGrpSpPr>
          <xdr:grpSpPr>
            <a:xfrm>
              <a:off x="866775" y="352425"/>
              <a:ext cx="1524000" cy="2238375"/>
              <a:chOff x="793561" y="398516"/>
              <a:chExt cx="1728216" cy="2099358"/>
            </a:xfrm>
          </xdr:grpSpPr>
          <xdr:grpSp>
            <xdr:nvGrpSpPr>
              <xdr:cNvPr id="3" name="Колонки">
                <a:extLst>
                  <a:ext uri="{FF2B5EF4-FFF2-40B4-BE49-F238E27FC236}">
                    <a16:creationId xmlns:a16="http://schemas.microsoft.com/office/drawing/2014/main" id="{00000000-0008-0000-0300-000003000000}"/>
                  </a:ext>
                </a:extLst>
              </xdr:cNvPr>
              <xdr:cNvGrpSpPr/>
            </xdr:nvGrpSpPr>
            <xdr:grpSpPr>
              <a:xfrm>
                <a:off x="912376" y="541451"/>
                <a:ext cx="1501388" cy="1920689"/>
                <a:chOff x="860967" y="420154"/>
                <a:chExt cx="1550609" cy="2519324"/>
              </a:xfrm>
            </xdr:grpSpPr>
            <xdr:sp macro="" textlink="">
              <xdr:nvSpPr>
                <xdr:cNvPr id="4111" name="Срок доставки" descr="10" hidden="1">
                  <a:extLst>
                    <a:ext uri="{63B3BB69-23CF-44E3-9099-C40C66FF867C}">
                      <a14:compatExt spid="_x0000_s4111"/>
                    </a:ext>
                    <a:ext uri="{FF2B5EF4-FFF2-40B4-BE49-F238E27FC236}">
                      <a16:creationId xmlns:a16="http://schemas.microsoft.com/office/drawing/2014/main" id="{00000000-0008-0000-0300-00000F100000}"/>
                    </a:ext>
                  </a:extLst>
                </xdr:cNvPr>
                <xdr:cNvSpPr/>
              </xdr:nvSpPr>
              <xdr:spPr bwMode="auto">
                <a:xfrm>
                  <a:off x="860967" y="2669969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Срок доставки</a:t>
                  </a:r>
                </a:p>
              </xdr:txBody>
            </xdr:sp>
            <xdr:sp macro="" textlink="">
              <xdr:nvSpPr>
                <xdr:cNvPr id="4110" name="НДС" descr="9" hidden="1">
                  <a:extLst>
                    <a:ext uri="{63B3BB69-23CF-44E3-9099-C40C66FF867C}">
                      <a14:compatExt spid="_x0000_s4110"/>
                    </a:ext>
                    <a:ext uri="{FF2B5EF4-FFF2-40B4-BE49-F238E27FC236}">
                      <a16:creationId xmlns:a16="http://schemas.microsoft.com/office/drawing/2014/main" id="{00000000-0008-0000-0300-00000E100000}"/>
                    </a:ext>
                  </a:extLst>
                </xdr:cNvPr>
                <xdr:cNvSpPr/>
              </xdr:nvSpPr>
              <xdr:spPr bwMode="auto">
                <a:xfrm>
                  <a:off x="860967" y="2423895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НДС</a:t>
                  </a:r>
                </a:p>
              </xdr:txBody>
            </xdr:sp>
            <xdr:sp macro="" textlink="">
              <xdr:nvSpPr>
                <xdr:cNvPr id="4108" name="Сумма" descr="8" hidden="1">
                  <a:extLst>
                    <a:ext uri="{63B3BB69-23CF-44E3-9099-C40C66FF867C}">
                      <a14:compatExt spid="_x0000_s4108"/>
                    </a:ext>
                    <a:ext uri="{FF2B5EF4-FFF2-40B4-BE49-F238E27FC236}">
                      <a16:creationId xmlns:a16="http://schemas.microsoft.com/office/drawing/2014/main" id="{00000000-0008-0000-0300-00000C100000}"/>
                    </a:ext>
                  </a:extLst>
                </xdr:cNvPr>
                <xdr:cNvSpPr/>
              </xdr:nvSpPr>
              <xdr:spPr bwMode="auto">
                <a:xfrm>
                  <a:off x="860967" y="2166104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Сумма</a:t>
                  </a:r>
                </a:p>
              </xdr:txBody>
            </xdr:sp>
            <xdr:sp macro="" textlink="">
              <xdr:nvSpPr>
                <xdr:cNvPr id="4109" name="Цена" descr="7" hidden="1">
                  <a:extLst>
                    <a:ext uri="{63B3BB69-23CF-44E3-9099-C40C66FF867C}">
                      <a14:compatExt spid="_x0000_s4109"/>
                    </a:ext>
                    <a:ext uri="{FF2B5EF4-FFF2-40B4-BE49-F238E27FC236}">
                      <a16:creationId xmlns:a16="http://schemas.microsoft.com/office/drawing/2014/main" id="{00000000-0008-0000-0300-00000D100000}"/>
                    </a:ext>
                  </a:extLst>
                </xdr:cNvPr>
                <xdr:cNvSpPr/>
              </xdr:nvSpPr>
              <xdr:spPr bwMode="auto">
                <a:xfrm>
                  <a:off x="860967" y="1920031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Цена</a:t>
                  </a:r>
                </a:p>
              </xdr:txBody>
            </xdr:sp>
            <xdr:sp macro="" textlink="">
              <xdr:nvSpPr>
                <xdr:cNvPr id="4107" name="Ед. изм." descr="6" hidden="1">
                  <a:extLst>
                    <a:ext uri="{63B3BB69-23CF-44E3-9099-C40C66FF867C}">
                      <a14:compatExt spid="_x0000_s4107"/>
                    </a:ext>
                    <a:ext uri="{FF2B5EF4-FFF2-40B4-BE49-F238E27FC236}">
                      <a16:creationId xmlns:a16="http://schemas.microsoft.com/office/drawing/2014/main" id="{00000000-0008-0000-0300-00000B100000}"/>
                    </a:ext>
                  </a:extLst>
                </xdr:cNvPr>
                <xdr:cNvSpPr/>
              </xdr:nvSpPr>
              <xdr:spPr bwMode="auto">
                <a:xfrm>
                  <a:off x="860967" y="1673957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Ед. изм.</a:t>
                  </a:r>
                </a:p>
              </xdr:txBody>
            </xdr:sp>
            <xdr:sp macro="" textlink="">
              <xdr:nvSpPr>
                <xdr:cNvPr id="4106" name="Кол-во" descr="5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300-00000A100000}"/>
                    </a:ext>
                  </a:extLst>
                </xdr:cNvPr>
                <xdr:cNvSpPr/>
              </xdr:nvSpPr>
              <xdr:spPr bwMode="auto">
                <a:xfrm>
                  <a:off x="860967" y="1416166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Кол-во</a:t>
                  </a:r>
                </a:p>
              </xdr:txBody>
            </xdr:sp>
            <xdr:sp macro="" textlink="">
              <xdr:nvSpPr>
                <xdr:cNvPr id="4105" name="Наименование" descr="4" hidden="1">
                  <a:extLst>
                    <a:ext uri="{63B3BB69-23CF-44E3-9099-C40C66FF867C}">
                      <a14:compatExt spid="_x0000_s4105"/>
                    </a:ext>
                    <a:ext uri="{FF2B5EF4-FFF2-40B4-BE49-F238E27FC236}">
                      <a16:creationId xmlns:a16="http://schemas.microsoft.com/office/drawing/2014/main" id="{00000000-0008-0000-0300-000009100000}"/>
                    </a:ext>
                  </a:extLst>
                </xdr:cNvPr>
                <xdr:cNvSpPr/>
              </xdr:nvSpPr>
              <xdr:spPr bwMode="auto">
                <a:xfrm>
                  <a:off x="860967" y="1170092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Наименование</a:t>
                  </a:r>
                </a:p>
              </xdr:txBody>
            </xdr:sp>
            <xdr:sp macro="" textlink="">
              <xdr:nvSpPr>
                <xdr:cNvPr id="4103" name="p/n" descr="3" hidden="1">
                  <a:extLst>
                    <a:ext uri="{63B3BB69-23CF-44E3-9099-C40C66FF867C}">
                      <a14:compatExt spid="_x0000_s4103"/>
                    </a:ext>
                    <a:ext uri="{FF2B5EF4-FFF2-40B4-BE49-F238E27FC236}">
                      <a16:creationId xmlns:a16="http://schemas.microsoft.com/office/drawing/2014/main" id="{00000000-0008-0000-0300-000007100000}"/>
                    </a:ext>
                  </a:extLst>
                </xdr:cNvPr>
                <xdr:cNvSpPr/>
              </xdr:nvSpPr>
              <xdr:spPr bwMode="auto">
                <a:xfrm>
                  <a:off x="860967" y="924019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p/n</a:t>
                  </a:r>
                </a:p>
              </xdr:txBody>
            </xdr:sp>
            <xdr:sp macro="" textlink="">
              <xdr:nvSpPr>
                <xdr:cNvPr id="4113" name="Производитель" descr="2" hidden="1">
                  <a:extLst>
                    <a:ext uri="{63B3BB69-23CF-44E3-9099-C40C66FF867C}">
                      <a14:compatExt spid="_x0000_s4113"/>
                    </a:ext>
                    <a:ext uri="{FF2B5EF4-FFF2-40B4-BE49-F238E27FC236}">
                      <a16:creationId xmlns:a16="http://schemas.microsoft.com/office/drawing/2014/main" id="{00000000-0008-0000-0300-000011100000}"/>
                    </a:ext>
                  </a:extLst>
                </xdr:cNvPr>
                <xdr:cNvSpPr/>
              </xdr:nvSpPr>
              <xdr:spPr bwMode="auto">
                <a:xfrm>
                  <a:off x="860967" y="666228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Производитель</a:t>
                  </a:r>
                </a:p>
              </xdr:txBody>
            </xdr:sp>
            <xdr:sp macro="" textlink="">
              <xdr:nvSpPr>
                <xdr:cNvPr id="4112" name="№" descr="1" hidden="1">
                  <a:extLst>
                    <a:ext uri="{63B3BB69-23CF-44E3-9099-C40C66FF867C}">
                      <a14:compatExt spid="_x0000_s4112"/>
                    </a:ext>
                    <a:ext uri="{FF2B5EF4-FFF2-40B4-BE49-F238E27FC236}">
                      <a16:creationId xmlns:a16="http://schemas.microsoft.com/office/drawing/2014/main" id="{00000000-0008-0000-0300-000010100000}"/>
                    </a:ext>
                  </a:extLst>
                </xdr:cNvPr>
                <xdr:cNvSpPr/>
              </xdr:nvSpPr>
              <xdr:spPr bwMode="auto">
                <a:xfrm>
                  <a:off x="860967" y="420154"/>
                  <a:ext cx="1550609" cy="26950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№</a:t>
                  </a:r>
                </a:p>
              </xdr:txBody>
            </xdr:sp>
          </xdr:grpSp>
          <xdr:sp macro="" textlink="">
            <xdr:nvSpPr>
              <xdr:cNvPr id="4116" name="Окно группы: колонки таблицы КП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793561" y="398516"/>
                <a:ext cx="1728216" cy="20993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Колонки таблицы КП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161925</xdr:rowOff>
        </xdr:from>
        <xdr:to>
          <xdr:col>4</xdr:col>
          <xdr:colOff>3648075</xdr:colOff>
          <xdr:row>7</xdr:row>
          <xdr:rowOff>85725</xdr:rowOff>
        </xdr:to>
        <xdr:grpSp>
          <xdr:nvGrpSpPr>
            <xdr:cNvPr id="4" name="Параметры расчёта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pSpPr/>
          </xdr:nvGrpSpPr>
          <xdr:grpSpPr>
            <a:xfrm>
              <a:off x="2495550" y="352425"/>
              <a:ext cx="2105025" cy="1066800"/>
              <a:chOff x="3340729" y="1565112"/>
              <a:chExt cx="2036764" cy="1025136"/>
            </a:xfrm>
          </xdr:grpSpPr>
          <xdr:sp macro="" textlink="">
            <xdr:nvSpPr>
              <xdr:cNvPr id="4115" name="Включить доставку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3442106" y="2205822"/>
                <a:ext cx="1843225" cy="3386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Включить стоимость доставки в стоимость оборудования</a:t>
                </a:r>
              </a:p>
            </xdr:txBody>
          </xdr:sp>
          <xdr:sp macro="" textlink="">
            <xdr:nvSpPr>
              <xdr:cNvPr id="4114" name="Список _НДС_" descr="VATComboBox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300-000012100000}"/>
                  </a:ext>
                </a:extLst>
              </xdr:cNvPr>
              <xdr:cNvSpPr/>
            </xdr:nvSpPr>
            <xdr:spPr bwMode="auto">
              <a:xfrm>
                <a:off x="4409800" y="1958691"/>
                <a:ext cx="866316" cy="192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Список _валюта_" descr="CurrencyComboBox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4409800" y="1711560"/>
                <a:ext cx="866316" cy="192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Метка _НДС_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442106" y="1958691"/>
                <a:ext cx="866316" cy="1464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НДС расчёта</a:t>
                </a:r>
              </a:p>
            </xdr:txBody>
          </xdr:sp>
          <xdr:sp macro="" textlink="">
            <xdr:nvSpPr>
              <xdr:cNvPr id="4136" name="Метка _валюта_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442106" y="1711560"/>
                <a:ext cx="866316" cy="1464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Валюта расчёта</a:t>
                </a:r>
              </a:p>
            </xdr:txBody>
          </xdr:sp>
          <xdr:sp macro="" textlink="">
            <xdr:nvSpPr>
              <xdr:cNvPr id="4135" name="Окно группы: Параметры расчёта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340729" y="1565112"/>
                <a:ext cx="2036764" cy="10251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Параметры расчёта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4</xdr:col>
      <xdr:colOff>1543050</xdr:colOff>
      <xdr:row>8</xdr:row>
      <xdr:rowOff>0</xdr:rowOff>
    </xdr:from>
    <xdr:to>
      <xdr:col>4</xdr:col>
      <xdr:colOff>3648075</xdr:colOff>
      <xdr:row>13</xdr:row>
      <xdr:rowOff>114300</xdr:rowOff>
    </xdr:to>
    <xdr:grpSp>
      <xdr:nvGrpSpPr>
        <xdr:cNvPr id="11" name="Расчёт прибыли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495550" y="1524000"/>
          <a:ext cx="2105025" cy="1066800"/>
          <a:chOff x="2495850" y="1521400"/>
          <a:chExt cx="2104516" cy="106491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30" name="Кнопка _рассчитать_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3600483" y="2282052"/>
                <a:ext cx="895134" cy="2567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10</a:t>
                </a:r>
              </a:p>
            </xdr:txBody>
          </xdr:sp>
        </mc:Choice>
        <mc:Fallback/>
      </mc:AlternateContent>
      <xdr:sp macro="" textlink="">
        <xdr:nvSpPr>
          <xdr:cNvPr id="26" name="Надпись _рассчитать_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 txBox="1"/>
        </xdr:nvSpPr>
        <xdr:spPr>
          <a:xfrm>
            <a:off x="2546638" y="2278883"/>
            <a:ext cx="1001471" cy="2535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РАССЧИТАТЬ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CalcType">
                <a:extLst>
                  <a:ext uri="{FF2B5EF4-FFF2-40B4-BE49-F238E27FC236}">
                    <a16:creationId xmlns:a16="http://schemas.microsoft.com/office/drawing/2014/main" id="{00000000-0008-0000-0300-000008000000}"/>
                  </a:ext>
                </a:extLst>
              </xdr:cNvPr>
              <xdr:cNvGrpSpPr/>
            </xdr:nvGrpSpPr>
            <xdr:grpSpPr>
              <a:xfrm>
                <a:off x="2600600" y="1673530"/>
                <a:ext cx="895134" cy="503932"/>
                <a:chOff x="2600600" y="1673530"/>
                <a:chExt cx="895134" cy="503932"/>
              </a:xfrm>
            </xdr:grpSpPr>
            <xdr:sp macro="" textlink="">
              <xdr:nvSpPr>
                <xdr:cNvPr id="4119" name="Маржа" descr="маржа" hidden="1">
                  <a:extLst>
                    <a:ext uri="{63B3BB69-23CF-44E3-9099-C40C66FF867C}">
                      <a14:compatExt spid="_x0000_s4119"/>
                    </a:ext>
                    <a:ext uri="{FF2B5EF4-FFF2-40B4-BE49-F238E27FC236}">
                      <a16:creationId xmlns:a16="http://schemas.microsoft.com/office/drawing/2014/main" id="{00000000-0008-0000-0300-000017100000}"/>
                    </a:ext>
                  </a:extLst>
                </xdr:cNvPr>
                <xdr:cNvSpPr/>
              </xdr:nvSpPr>
              <xdr:spPr bwMode="auto">
                <a:xfrm>
                  <a:off x="2705350" y="1930250"/>
                  <a:ext cx="695157" cy="21868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Маржа</a:t>
                  </a:r>
                </a:p>
              </xdr:txBody>
            </xdr:sp>
            <xdr:sp macro="" textlink="">
              <xdr:nvSpPr>
                <xdr:cNvPr id="4121" name="Наценка" descr="наценка" hidden="1">
                  <a:extLst>
                    <a:ext uri="{63B3BB69-23CF-44E3-9099-C40C66FF867C}">
                      <a14:compatExt spid="_x0000_s4121"/>
                    </a:ext>
                    <a:ext uri="{FF2B5EF4-FFF2-40B4-BE49-F238E27FC236}">
                      <a16:creationId xmlns:a16="http://schemas.microsoft.com/office/drawing/2014/main" id="{00000000-0008-0000-0300-000019100000}"/>
                    </a:ext>
                  </a:extLst>
                </xdr:cNvPr>
                <xdr:cNvSpPr/>
              </xdr:nvSpPr>
              <xdr:spPr bwMode="auto">
                <a:xfrm>
                  <a:off x="2705350" y="1778120"/>
                  <a:ext cx="695157" cy="21868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Наценка</a:t>
                  </a:r>
                </a:p>
              </xdr:txBody>
            </xdr:sp>
            <xdr:sp macro="" textlink="">
              <xdr:nvSpPr>
                <xdr:cNvPr id="4140" name="Окно группы: Способ расчёта" hidden="1">
                  <a:extLst>
                    <a:ext uri="{63B3BB69-23CF-44E3-9099-C40C66FF867C}">
                      <a14:compatExt spid="_x0000_s4140"/>
                    </a:ext>
                    <a:ext uri="{FF2B5EF4-FFF2-40B4-BE49-F238E27FC236}">
                      <a16:creationId xmlns:a16="http://schemas.microsoft.com/office/drawing/2014/main" id="{00000000-0008-0000-0300-00002C100000}"/>
                    </a:ext>
                  </a:extLst>
                </xdr:cNvPr>
                <xdr:cNvSpPr/>
              </xdr:nvSpPr>
              <xdr:spPr bwMode="auto">
                <a:xfrm>
                  <a:off x="2600600" y="1673530"/>
                  <a:ext cx="895134" cy="50393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Способ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" name="CalcSource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GrpSpPr/>
            </xdr:nvGrpSpPr>
            <xdr:grpSpPr>
              <a:xfrm>
                <a:off x="3600483" y="1673530"/>
                <a:ext cx="895134" cy="503932"/>
                <a:chOff x="6184276" y="1489599"/>
                <a:chExt cx="895134" cy="503932"/>
              </a:xfrm>
            </xdr:grpSpPr>
            <xdr:sp macro="" textlink="">
              <xdr:nvSpPr>
                <xdr:cNvPr id="4144" name="От входа" descr="вход" hidden="1">
                  <a:extLst>
                    <a:ext uri="{63B3BB69-23CF-44E3-9099-C40C66FF867C}">
                      <a14:compatExt spid="_x0000_s4144"/>
                    </a:ext>
                    <a:ext uri="{FF2B5EF4-FFF2-40B4-BE49-F238E27FC236}">
                      <a16:creationId xmlns:a16="http://schemas.microsoft.com/office/drawing/2014/main" id="{00000000-0008-0000-0300-000030100000}"/>
                    </a:ext>
                  </a:extLst>
                </xdr:cNvPr>
                <xdr:cNvSpPr/>
              </xdr:nvSpPr>
              <xdr:spPr bwMode="auto">
                <a:xfrm>
                  <a:off x="6289026" y="1746319"/>
                  <a:ext cx="695157" cy="21868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Вход</a:t>
                  </a:r>
                </a:p>
              </xdr:txBody>
            </xdr:sp>
            <xdr:sp macro="" textlink="">
              <xdr:nvSpPr>
                <xdr:cNvPr id="4146" name="От GPL" descr="GPL" hidden="1">
                  <a:extLst>
                    <a:ext uri="{63B3BB69-23CF-44E3-9099-C40C66FF867C}">
                      <a14:compatExt spid="_x0000_s4146"/>
                    </a:ext>
                    <a:ext uri="{FF2B5EF4-FFF2-40B4-BE49-F238E27FC236}">
                      <a16:creationId xmlns:a16="http://schemas.microsoft.com/office/drawing/2014/main" id="{00000000-0008-0000-0300-000032100000}"/>
                    </a:ext>
                  </a:extLst>
                </xdr:cNvPr>
                <xdr:cNvSpPr/>
              </xdr:nvSpPr>
              <xdr:spPr bwMode="auto">
                <a:xfrm>
                  <a:off x="6289026" y="1594189"/>
                  <a:ext cx="695157" cy="21868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GPL</a:t>
                  </a:r>
                </a:p>
              </xdr:txBody>
            </xdr:sp>
            <xdr:sp macro="" textlink="">
              <xdr:nvSpPr>
                <xdr:cNvPr id="4148" name="Окно группы: Источник" hidden="1">
                  <a:extLst>
                    <a:ext uri="{63B3BB69-23CF-44E3-9099-C40C66FF867C}">
                      <a14:compatExt spid="_x0000_s4148"/>
                    </a:ext>
                    <a:ext uri="{FF2B5EF4-FFF2-40B4-BE49-F238E27FC236}">
                      <a16:creationId xmlns:a16="http://schemas.microsoft.com/office/drawing/2014/main" id="{00000000-0008-0000-0300-000034100000}"/>
                    </a:ext>
                  </a:extLst>
                </xdr:cNvPr>
                <xdr:cNvSpPr/>
              </xdr:nvSpPr>
              <xdr:spPr bwMode="auto">
                <a:xfrm>
                  <a:off x="6184276" y="1489599"/>
                  <a:ext cx="895134" cy="50393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Источник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20" name="Окно группы: Расчёт прибыли" hidden="1">
                <a:extLst>
                  <a:ext uri="{63B3BB69-23CF-44E3-9099-C40C66FF867C}">
                    <a14:compatExt spid="_x0000_s4120"/>
                  </a:ext>
                  <a:ext uri="{FF2B5EF4-FFF2-40B4-BE49-F238E27FC236}">
                    <a16:creationId xmlns:a16="http://schemas.microsoft.com/office/drawing/2014/main" id="{00000000-0008-0000-0300-000018100000}"/>
                  </a:ext>
                </a:extLst>
              </xdr:cNvPr>
              <xdr:cNvSpPr/>
            </xdr:nvSpPr>
            <xdr:spPr bwMode="auto">
              <a:xfrm>
                <a:off x="2495850" y="1521400"/>
                <a:ext cx="2104516" cy="106491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Расчёт прибыли</a:t>
                </a:r>
              </a:p>
            </xdr:txBody>
          </xdr:sp>
        </mc:Choice>
        <mc:Fallback/>
      </mc:AlternateContent>
    </xdr:grpSp>
    <xdr:clientData/>
  </xdr:twoCellAnchor>
  <xdr:twoCellAnchor editAs="absolute">
    <xdr:from>
      <xdr:col>1</xdr:col>
      <xdr:colOff>257175</xdr:colOff>
      <xdr:row>14</xdr:row>
      <xdr:rowOff>28575</xdr:rowOff>
    </xdr:from>
    <xdr:to>
      <xdr:col>4</xdr:col>
      <xdr:colOff>3648075</xdr:colOff>
      <xdr:row>16</xdr:row>
      <xdr:rowOff>76200</xdr:rowOff>
    </xdr:to>
    <xdr:grpSp>
      <xdr:nvGrpSpPr>
        <xdr:cNvPr id="7" name="Экспорт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866775" y="2695575"/>
          <a:ext cx="3733800" cy="428625"/>
          <a:chOff x="883494" y="2600149"/>
          <a:chExt cx="3816547" cy="40047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0" name="Кнопка: в excel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3677752" y="2698043"/>
                <a:ext cx="915192" cy="2580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1" name="Кнопка: в word" hidden="1">
                <a:extLst>
                  <a:ext uri="{63B3BB69-23CF-44E3-9099-C40C66FF867C}">
                    <a14:compatExt spid="_x0000_s4151"/>
                  </a:ext>
                  <a:ext uri="{FF2B5EF4-FFF2-40B4-BE49-F238E27FC236}">
                    <a16:creationId xmlns:a16="http://schemas.microsoft.com/office/drawing/2014/main" id="{00000000-0008-0000-0300-000037100000}"/>
                  </a:ext>
                </a:extLst>
              </xdr:cNvPr>
              <xdr:cNvSpPr/>
            </xdr:nvSpPr>
            <xdr:spPr bwMode="auto">
              <a:xfrm>
                <a:off x="2655462" y="2698043"/>
                <a:ext cx="915192" cy="2580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Word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3" name="Окно группы: Экспортировать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883494" y="2600149"/>
                <a:ext cx="3816547" cy="400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Экспорт</a:t>
                </a:r>
              </a:p>
            </xdr:txBody>
          </xdr:sp>
        </mc:Choice>
        <mc:Fallback/>
      </mc:AlternateContent>
      <xdr:sp macro="" textlink="">
        <xdr:nvSpPr>
          <xdr:cNvPr id="42" name="Надпись _экспортировать_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 txBox="1"/>
        </xdr:nvSpPr>
        <xdr:spPr>
          <a:xfrm>
            <a:off x="935420" y="2742541"/>
            <a:ext cx="1505848" cy="2106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ЭКСПОРТИРОВАТЬ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Расчёт" displayName="Расчёт" ref="A16:AB44" totalsRowCount="1" headerRowDxfId="107" dataDxfId="105" totalsRowDxfId="103" headerRowBorderDxfId="106" tableBorderDxfId="104">
  <autoFilter ref="A16:AB43"/>
  <tableColumns count="28">
    <tableColumn id="1" name="1_x000a_№" dataDxfId="102" totalsRowDxfId="52" dataCellStyle="Обычный 4"/>
    <tableColumn id="2" name="2_x000a_Производитель" dataDxfId="101" totalsRowDxfId="51" dataCellStyle="Обычный 4"/>
    <tableColumn id="3" name="3_x000a_p/n" dataDxfId="100" totalsRowDxfId="50" dataCellStyle="Обычный 4"/>
    <tableColumn id="4" name="4 _x000a_Наименование" dataDxfId="99" totalsRowDxfId="49" dataCellStyle="Обычный 4"/>
    <tableColumn id="5" name="5_x000a_Кол-во" dataDxfId="98" totalsRowDxfId="48" dataCellStyle="Обычный 4"/>
    <tableColumn id="6" name="6_x000a_Ед.изм." dataDxfId="97" totalsRowDxfId="47" dataCellStyle="Обычный 4"/>
    <tableColumn id="7" name="7_x000a_Цена GPL" totalsRowLabel="Итого:" dataDxfId="96" totalsRowDxfId="46" dataCellStyle="Обычный 4">
      <calculatedColumnFormula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calculatedColumnFormula>
    </tableColumn>
    <tableColumn id="8" name="8_x000a_Сумма GPL" totalsRowFunction="custom" dataDxfId="95" totalsRowDxfId="45" dataCellStyle="Обычный 4">
      <calculatedColumnFormula>Расчёт[[#This Row],[5
Кол-во]]*Расчёт[[#This Row],[7
Цена GPL]]</calculatedColumnFormula>
      <totalsRowFormula>SUMIF(Расчёт[1
№],"&lt;&gt;",Расчёт[8
Сумма GPL])</totalsRowFormula>
    </tableColumn>
    <tableColumn id="9" name="9_x000a_Скидка" totalsRowFunction="custom" dataDxfId="94" totalsRowDxfId="44" dataCellStyle="Обычный 4">
      <calculatedColumnFormula>IFERROR((Расчёт[[#This Row],[7
Цена GPL]]-Расчёт[[#This Row],[10
Цена Вход]])/Расчёт[[#This Row],[7
Цена GPL]],"")</calculatedColumnFormula>
      <totalsRowFormula>IFERROR((H44-K44)/H44,"")</totalsRowFormula>
    </tableColumn>
    <tableColumn id="10" name="10_x000a_Цена Вход" totalsRowLabel="Итого:" dataDxfId="93" totalsRowDxfId="43" dataCellStyle="Обычный 4">
      <calculatedColumnFormula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calculatedColumnFormula>
    </tableColumn>
    <tableColumn id="11" name="11_x000a_Сумма Вход" totalsRowFunction="custom" dataDxfId="92" totalsRowDxfId="42" dataCellStyle="Обычный 4">
      <calculatedColumnFormula>IF(OR(Расчёт[[#This Row],[27
тип индекса]]="subtitle",Расчёт[[#This Row],[1
№]]=""),0,Расчёт[[#This Row],[5
Кол-во]]*Расчёт[[#This Row],[10
Цена Вход]])</calculatedColumnFormula>
      <totalsRowFormula>SUMIF(Расчёт[1
№],"&lt;&gt;",Расчёт[11
Сумма Вход])</totalsRowFormula>
    </tableColumn>
    <tableColumn id="12" name="12_x000a_НДС вход" dataDxfId="91" totalsRowDxfId="41" dataCellStyle="Обычный 4"/>
    <tableColumn id="13" name="13_x000a_Срок поставки" dataDxfId="90" totalsRowDxfId="40" dataCellStyle="Обычный 4"/>
    <tableColumn id="14" name="14_x000a_Поставщик" dataDxfId="89" totalsRowDxfId="39" dataCellStyle="Обычный 4"/>
    <tableColumn id="15" name="15_x000a_Примечания" dataDxfId="88" totalsRowDxfId="38" dataCellStyle="Обычный 4"/>
    <tableColumn id="16" name="16_x000a_Вес" dataDxfId="87" totalsRowDxfId="37" dataCellStyle="Обычный 4"/>
    <tableColumn id="17" name="17_x000a_Всего" totalsRowFunction="custom" dataDxfId="86" totalsRowDxfId="36" dataCellStyle="Обычный 4">
      <calculatedColumnFormula>Расчёт[[#This Row],[5
Кол-во]]*Расчёт[[#This Row],[16
Вес]]</calculatedColumnFormula>
      <totalsRowFormula>SUMIF(Расчёт[1
№],"&lt;&gt;",Расчёт[17
Всего])</totalsRowFormula>
    </tableColumn>
    <tableColumn id="18" name="18_x000a_Объём" dataDxfId="85" totalsRowDxfId="35" dataCellStyle="Обычный 4"/>
    <tableColumn id="19" name="19_x000a_Всего" totalsRowFunction="custom" dataDxfId="84" totalsRowDxfId="34" dataCellStyle="Обычный 4">
      <calculatedColumnFormula>Расчёт[[#This Row],[5
Кол-во]]*Расчёт[[#This Row],[18
Объём]]</calculatedColumnFormula>
      <totalsRowFormula>SUMIF(Расчёт[1
№],"&lt;&gt;",Расчёт[19
Всего])</totalsRowFormula>
    </tableColumn>
    <tableColumn id="20" name="20_x000a_Валюта" dataDxfId="83" totalsRowDxfId="33" dataCellStyle="Обычный 4"/>
    <tableColumn id="21" name="21_x000a_Цена GPL" dataDxfId="82" totalsRowDxfId="32" dataCellStyle="Обычный 4"/>
    <tableColumn id="22" name="22_x000a_Валюта" dataDxfId="81" totalsRowDxfId="31" dataCellStyle="Обычный 4"/>
    <tableColumn id="23" name="23_x000a_Цена Вход" dataDxfId="80" totalsRowDxfId="30" dataCellStyle="Обычный 4"/>
    <tableColumn id="26" name="24_x000a_НДС закупки" dataDxfId="79" totalsRowDxfId="29" dataCellStyle="Обычный 4"/>
    <tableColumn id="24" name="25_x000a_Сумма GPL" dataDxfId="78" totalsRowDxfId="28" dataCellStyle="Обычный 4">
      <calculatedColumnFormula>Расчёт[[#This Row],[5
Кол-во]]*Расчёт[[#This Row],[21
Цена GPL]]</calculatedColumnFormula>
    </tableColumn>
    <tableColumn id="25" name="26_x000a_Сумма Вход" dataDxfId="77" totalsRowDxfId="27" dataCellStyle="Обычный 4">
      <calculatedColumnFormula>Расчёт[[#This Row],[5
Кол-во]]*Расчёт[[#This Row],[23
Цена Вход]]</calculatedColumnFormula>
    </tableColumn>
    <tableColumn id="27" name="27_x000a_тип индекса" dataDxfId="76" totalsRowDxfId="26" dataCellStyle="Обычный 4"/>
    <tableColumn id="28" name="28_x000a_НДС закупки" totalsRowFunction="custom" dataDxfId="75" totalsRowDxfId="25" dataCellStyle="Обычный 4">
      <calculatedColumnFormula>ROUND(Расчёт[[#This Row],[11
Сумма Вход]]*IF(Расчёт[[#This Row],[12
НДС вход]]=INDEX(НДС,1),1/1.18*0.18,IF(Расчёт[[#This Row],[12
НДС вход]]=INDEX(НДС,2),0.18,0)),2)</calculatedColumnFormula>
      <totalsRowFormula>SUMIF(Расчёт[1
№],"&lt;&gt;",Расчёт[28
НДС закупки])</totalsRow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Доставка" displayName="Доставка" ref="A47:H51" totalsRowCount="1" headerRowDxfId="74" dataDxfId="72" totalsRowDxfId="70" headerRowBorderDxfId="73" tableBorderDxfId="71" totalsRowBorderDxfId="69">
  <autoFilter ref="A47:H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Вкл. в расчёт" dataDxfId="68" totalsRowDxfId="67"/>
    <tableColumn id="2" name="Способ доставки" dataDxfId="66" totalsRowDxfId="65"/>
    <tableColumn id="3" name="Срок доставки" dataDxfId="64" totalsRowDxfId="63"/>
    <tableColumn id="4" name="Адрес доставки" totalsRowLabel="Итого:" dataDxfId="62" totalsRowDxfId="61"/>
    <tableColumn id="5" name="Общий вес, кг" totalsRowFunction="custom" dataDxfId="60" totalsRowDxfId="59">
      <calculatedColumnFormula>вес</calculatedColumnFormula>
      <totalsRowFormula>SUMIF(Доставка[Вкл. в расчёт],"=да",Доставка[Общий вес, кг])</totalsRowFormula>
    </tableColumn>
    <tableColumn id="6" name="Общий объем, м3" totalsRowFunction="custom" dataDxfId="58" totalsRowDxfId="57">
      <calculatedColumnFormula>объём</calculatedColumnFormula>
      <totalsRowFormula>SUMIF(Доставка[Вкл. в расчёт],"=да",Доставка[Общий объем, м3])</totalsRowFormula>
    </tableColumn>
    <tableColumn id="7" name="Цена, руб. с НДС" totalsRowFunction="custom" dataDxfId="56" totalsRowDxfId="55">
      <totalsRowFormula>SUMIF(Доставка[Вкл. в расчёт],"=да",Доставка[Цена, руб. с НДС])</totalsRowFormula>
    </tableColumn>
    <tableColumn id="8" name="Транспортная компания" dataDxfId="54" totalsRowDxfId="53"/>
  </tableColumns>
  <tableStyleInfo name="Стиль таблицы 1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15"/>
  <sheetViews>
    <sheetView workbookViewId="0">
      <selection activeCell="B11" sqref="B11"/>
    </sheetView>
  </sheetViews>
  <sheetFormatPr defaultRowHeight="15" x14ac:dyDescent="0.25"/>
  <cols>
    <col min="1" max="1" width="11.5703125" customWidth="1"/>
    <col min="2" max="2" width="7.5703125" style="14" customWidth="1"/>
    <col min="3" max="4" width="6.5703125" style="14" customWidth="1"/>
    <col min="5" max="5" width="9.5703125" customWidth="1"/>
    <col min="6" max="8" width="7.85546875" customWidth="1"/>
    <col min="9" max="9" width="14.140625" customWidth="1"/>
    <col min="10" max="11" width="12.28515625" customWidth="1"/>
    <col min="13" max="13" width="13.140625" bestFit="1" customWidth="1"/>
    <col min="14" max="15" width="20.5703125" bestFit="1" customWidth="1"/>
    <col min="16" max="16" width="18.5703125" customWidth="1"/>
    <col min="17" max="17" width="22.5703125" bestFit="1" customWidth="1"/>
    <col min="18" max="18" width="23.28515625" customWidth="1"/>
    <col min="19" max="19" width="14.85546875" customWidth="1"/>
    <col min="20" max="20" width="13.140625" customWidth="1"/>
  </cols>
  <sheetData>
    <row r="1" spans="1:20" s="1" customFormat="1" x14ac:dyDescent="0.25">
      <c r="A1" s="2" t="s">
        <v>33</v>
      </c>
      <c r="B1" s="12" t="str">
        <f>INDEX(валюта,1)</f>
        <v>EUR</v>
      </c>
      <c r="C1" s="12" t="str">
        <f>INDEX(валюта,2)</f>
        <v>RUR</v>
      </c>
      <c r="D1" s="13" t="str">
        <f>INDEX(валюта,3)</f>
        <v>USD</v>
      </c>
      <c r="E1" s="2" t="s">
        <v>34</v>
      </c>
      <c r="F1" s="5" t="str">
        <f>INDEX(НДС,1)</f>
        <v>с НДС</v>
      </c>
      <c r="G1" s="5" t="str">
        <f>INDEX(НДС,2)</f>
        <v>без НДС</v>
      </c>
      <c r="H1" s="6" t="str">
        <f>INDEX(НДС,3)</f>
        <v>н/о НДС</v>
      </c>
      <c r="I1" s="19" t="s">
        <v>131</v>
      </c>
      <c r="J1" s="19" t="s">
        <v>74</v>
      </c>
      <c r="K1" s="19" t="s">
        <v>158</v>
      </c>
      <c r="L1" s="1" t="s">
        <v>35</v>
      </c>
      <c r="M1" s="1" t="s">
        <v>62</v>
      </c>
      <c r="N1" s="1" t="s">
        <v>65</v>
      </c>
      <c r="O1" s="1" t="s">
        <v>66</v>
      </c>
      <c r="P1" s="1" t="s">
        <v>90</v>
      </c>
      <c r="Q1" s="1" t="s">
        <v>179</v>
      </c>
      <c r="R1" s="1" t="s">
        <v>103</v>
      </c>
      <c r="S1" s="1" t="s">
        <v>137</v>
      </c>
      <c r="T1" s="1" t="s">
        <v>169</v>
      </c>
    </row>
    <row r="2" spans="1:20" x14ac:dyDescent="0.25">
      <c r="A2" s="3" t="s">
        <v>18</v>
      </c>
      <c r="B2" s="15">
        <v>1</v>
      </c>
      <c r="C2" s="15">
        <f>1/курс_EUR_расчётный</f>
        <v>1.3888888888888888E-2</v>
      </c>
      <c r="D2" s="16">
        <f>курс_USD_расчётный/курс_EUR_расчётный</f>
        <v>0.83333333333333337</v>
      </c>
      <c r="E2" s="7" t="s">
        <v>30</v>
      </c>
      <c r="F2" s="9">
        <v>1</v>
      </c>
      <c r="G2" s="9">
        <v>1.18</v>
      </c>
      <c r="H2" s="10">
        <v>1.18</v>
      </c>
      <c r="I2" s="9" t="s">
        <v>134</v>
      </c>
      <c r="J2" s="9" t="s">
        <v>73</v>
      </c>
      <c r="K2" s="9" t="s">
        <v>159</v>
      </c>
      <c r="L2" t="s">
        <v>29</v>
      </c>
      <c r="M2" t="s">
        <v>60</v>
      </c>
      <c r="N2">
        <f t="array" ref="N2:N11" ca="1">_xlfn.FILTERXML(_xlfn.WEBSERVICE("www.cbr.ru/scripts/XML_dynamic.asp?date_req1="&amp;TEXT(NOW()-11,"ДД/ММ/ГГГГ")&amp;"&amp;date_req2="&amp;TEXT(NOW()+1,"ДД/ММ/ГГГГ")&amp;"&amp;VAL_NM_RQ=R01235"),"//Value")</f>
        <v>57.511800000000001</v>
      </c>
      <c r="O2">
        <f t="array" ref="O2:O11" ca="1">_xlfn.FILTERXML(_xlfn.WEBSERVICE("www.cbr.ru/scripts/XML_dynamic.asp?date_req1="&amp;TEXT(NOW()-11,"ДД/ММ/ГГГГ")&amp;"&amp;date_req2="&amp;TEXT(NOW()+1,"ДД/ММ/ГГГГ")&amp;"&amp;VAL_NM_RQ=R01239"),"//Value")</f>
        <v>67.892700000000005</v>
      </c>
      <c r="P2" t="s">
        <v>164</v>
      </c>
      <c r="R2" t="s">
        <v>110</v>
      </c>
      <c r="S2" t="s">
        <v>151</v>
      </c>
    </row>
    <row r="3" spans="1:20" x14ac:dyDescent="0.25">
      <c r="A3" s="3" t="s">
        <v>20</v>
      </c>
      <c r="B3" s="15">
        <f>курс_EUR_расчётный</f>
        <v>72</v>
      </c>
      <c r="C3" s="15">
        <v>1</v>
      </c>
      <c r="D3" s="16">
        <f>курс_USD_расчётный</f>
        <v>60</v>
      </c>
      <c r="E3" s="7" t="s">
        <v>31</v>
      </c>
      <c r="F3" s="9">
        <f>1/1.18</f>
        <v>0.84745762711864414</v>
      </c>
      <c r="G3" s="9">
        <v>1</v>
      </c>
      <c r="H3" s="10">
        <v>1</v>
      </c>
      <c r="I3" s="9" t="s">
        <v>132</v>
      </c>
      <c r="J3" s="9" t="s">
        <v>72</v>
      </c>
      <c r="K3" s="9" t="s">
        <v>160</v>
      </c>
      <c r="L3" t="s">
        <v>42</v>
      </c>
      <c r="M3" t="s">
        <v>59</v>
      </c>
      <c r="N3">
        <f ca="1"/>
        <v>57.470599999999997</v>
      </c>
      <c r="O3">
        <f ca="1"/>
        <v>67.556700000000006</v>
      </c>
      <c r="P3" t="s">
        <v>165</v>
      </c>
      <c r="Q3" t="s">
        <v>180</v>
      </c>
      <c r="R3" t="s">
        <v>111</v>
      </c>
      <c r="S3" t="s">
        <v>152</v>
      </c>
      <c r="T3" t="s">
        <v>170</v>
      </c>
    </row>
    <row r="4" spans="1:20" ht="15.75" thickBot="1" x14ac:dyDescent="0.3">
      <c r="A4" s="4" t="s">
        <v>21</v>
      </c>
      <c r="B4" s="17">
        <f>курс_EUR_расчётный/курс_USD_расчётный</f>
        <v>1.2</v>
      </c>
      <c r="C4" s="17">
        <f>1/курс_USD_расчётный</f>
        <v>1.6666666666666666E-2</v>
      </c>
      <c r="D4" s="18">
        <v>1</v>
      </c>
      <c r="E4" s="8" t="s">
        <v>32</v>
      </c>
      <c r="F4" s="20" t="e">
        <v>#VALUE!</v>
      </c>
      <c r="G4" s="20" t="e">
        <v>#VALUE!</v>
      </c>
      <c r="H4" s="11">
        <v>1</v>
      </c>
      <c r="I4" s="9" t="s">
        <v>133</v>
      </c>
      <c r="J4" s="9"/>
      <c r="K4" s="9"/>
      <c r="L4" t="s">
        <v>39</v>
      </c>
      <c r="M4" t="s">
        <v>67</v>
      </c>
      <c r="N4">
        <f ca="1"/>
        <v>57.5852</v>
      </c>
      <c r="O4">
        <f ca="1"/>
        <v>67.685599999999994</v>
      </c>
      <c r="P4" t="s">
        <v>149</v>
      </c>
      <c r="Q4" t="s">
        <v>180</v>
      </c>
      <c r="R4" t="s">
        <v>156</v>
      </c>
      <c r="T4" t="s">
        <v>171</v>
      </c>
    </row>
    <row r="5" spans="1:20" x14ac:dyDescent="0.25">
      <c r="L5" t="s">
        <v>41</v>
      </c>
      <c r="M5" t="s">
        <v>61</v>
      </c>
      <c r="N5">
        <f ca="1"/>
        <v>57.613999999999997</v>
      </c>
      <c r="O5">
        <f ca="1"/>
        <v>67.771299999999997</v>
      </c>
      <c r="P5" t="s">
        <v>93</v>
      </c>
      <c r="Q5" t="s">
        <v>186</v>
      </c>
      <c r="R5" t="s">
        <v>112</v>
      </c>
      <c r="T5" t="s">
        <v>172</v>
      </c>
    </row>
    <row r="6" spans="1:20" x14ac:dyDescent="0.25">
      <c r="L6" t="s">
        <v>40</v>
      </c>
      <c r="N6">
        <f ca="1"/>
        <v>57.764299999999999</v>
      </c>
      <c r="O6">
        <f ca="1"/>
        <v>68.289000000000001</v>
      </c>
      <c r="P6" t="s">
        <v>94</v>
      </c>
      <c r="Q6" t="s">
        <v>184</v>
      </c>
      <c r="R6" t="s">
        <v>104</v>
      </c>
      <c r="T6" t="s">
        <v>173</v>
      </c>
    </row>
    <row r="7" spans="1:20" x14ac:dyDescent="0.25">
      <c r="L7" t="s">
        <v>38</v>
      </c>
      <c r="N7">
        <f ca="1"/>
        <v>58.083300000000001</v>
      </c>
      <c r="O7">
        <f ca="1"/>
        <v>67.527600000000007</v>
      </c>
      <c r="P7" t="s">
        <v>91</v>
      </c>
      <c r="Q7" t="s">
        <v>180</v>
      </c>
      <c r="R7" t="s">
        <v>105</v>
      </c>
    </row>
    <row r="8" spans="1:20" x14ac:dyDescent="0.25">
      <c r="L8" t="s">
        <v>36</v>
      </c>
      <c r="N8">
        <f ca="1"/>
        <v>57.871600000000001</v>
      </c>
      <c r="O8">
        <f ca="1"/>
        <v>67.2179</v>
      </c>
      <c r="P8" t="s">
        <v>92</v>
      </c>
      <c r="Q8" t="s">
        <v>84</v>
      </c>
      <c r="R8" t="s">
        <v>106</v>
      </c>
    </row>
    <row r="9" spans="1:20" x14ac:dyDescent="0.25">
      <c r="L9" t="s">
        <v>37</v>
      </c>
      <c r="N9">
        <f ca="1"/>
        <v>58.117899999999999</v>
      </c>
      <c r="O9">
        <f ca="1"/>
        <v>67.6434</v>
      </c>
      <c r="P9" t="s">
        <v>129</v>
      </c>
      <c r="R9" t="s">
        <v>107</v>
      </c>
    </row>
    <row r="10" spans="1:20" x14ac:dyDescent="0.25">
      <c r="N10">
        <f ca="1"/>
        <v>58.155700000000003</v>
      </c>
      <c r="O10">
        <f ca="1"/>
        <v>67.710700000000003</v>
      </c>
      <c r="P10" t="s">
        <v>150</v>
      </c>
      <c r="Q10" t="s">
        <v>185</v>
      </c>
      <c r="R10" t="s">
        <v>108</v>
      </c>
    </row>
    <row r="11" spans="1:20" x14ac:dyDescent="0.25">
      <c r="N11" t="e">
        <f ca="1"/>
        <v>#N/A</v>
      </c>
      <c r="O11" t="e">
        <f ca="1"/>
        <v>#N/A</v>
      </c>
      <c r="P11" t="s">
        <v>151</v>
      </c>
      <c r="Q11" t="s">
        <v>183</v>
      </c>
      <c r="R11" t="s">
        <v>109</v>
      </c>
    </row>
    <row r="12" spans="1:20" x14ac:dyDescent="0.25">
      <c r="A12" t="s">
        <v>220</v>
      </c>
      <c r="B12" s="14">
        <f>стоимость_доставки*INDEX(расчёт_курса,MATCH(валюта_расчёта,валюта,0),2)/IF(включить_НДС=INDEX(НДС,2),себестоимость+размер_НДС_закупки,себестоимость)</f>
        <v>0.27933198938349069</v>
      </c>
      <c r="P12" t="s">
        <v>166</v>
      </c>
      <c r="Q12" t="s">
        <v>181</v>
      </c>
    </row>
    <row r="13" spans="1:20" x14ac:dyDescent="0.25">
      <c r="P13" t="s">
        <v>168</v>
      </c>
      <c r="Q13" t="s">
        <v>187</v>
      </c>
    </row>
    <row r="14" spans="1:20" x14ac:dyDescent="0.25">
      <c r="P14" t="s">
        <v>152</v>
      </c>
      <c r="Q14" t="s">
        <v>182</v>
      </c>
    </row>
    <row r="15" spans="1:20" x14ac:dyDescent="0.25">
      <c r="B15"/>
      <c r="C15"/>
      <c r="D15"/>
      <c r="P15" t="s">
        <v>167</v>
      </c>
    </row>
  </sheetData>
  <sheetProtection formatCells="0" formatColumns="0" formatRows="0" insertColumns="0" insertRows="0" insertHyperlinks="0" deleteColumns="0" deleteRows="0" sort="0" autoFilter="0" pivotTables="0"/>
  <sortState ref="P2:P15">
    <sortCondition ref="P15"/>
  </sortState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9"/>
  <sheetViews>
    <sheetView workbookViewId="0">
      <selection activeCell="A6" sqref="A6"/>
    </sheetView>
  </sheetViews>
  <sheetFormatPr defaultRowHeight="15" x14ac:dyDescent="0.25"/>
  <cols>
    <col min="1" max="1" width="86.28515625" style="73" customWidth="1"/>
  </cols>
  <sheetData>
    <row r="1" spans="1:1" x14ac:dyDescent="0.25">
      <c r="A1" s="75" t="s">
        <v>221</v>
      </c>
    </row>
    <row r="2" spans="1:1" x14ac:dyDescent="0.25">
      <c r="A2" s="74" t="s">
        <v>162</v>
      </c>
    </row>
    <row r="3" spans="1:1" ht="105" x14ac:dyDescent="0.25">
      <c r="A3" s="73" t="s">
        <v>225</v>
      </c>
    </row>
    <row r="4" spans="1:1" ht="195" x14ac:dyDescent="0.25">
      <c r="A4" s="73" t="s">
        <v>226</v>
      </c>
    </row>
    <row r="5" spans="1:1" x14ac:dyDescent="0.25">
      <c r="A5" s="74" t="s">
        <v>161</v>
      </c>
    </row>
    <row r="6" spans="1:1" ht="60" x14ac:dyDescent="0.25">
      <c r="A6" s="73" t="s">
        <v>222</v>
      </c>
    </row>
    <row r="7" spans="1:1" ht="30" x14ac:dyDescent="0.25">
      <c r="A7" s="73" t="s">
        <v>223</v>
      </c>
    </row>
    <row r="8" spans="1:1" x14ac:dyDescent="0.25">
      <c r="A8" s="74" t="s">
        <v>191</v>
      </c>
    </row>
    <row r="9" spans="1:1" ht="45" x14ac:dyDescent="0.25">
      <c r="A9" s="73" t="s">
        <v>224</v>
      </c>
    </row>
    <row r="10" spans="1:1" x14ac:dyDescent="0.25">
      <c r="A10" s="75" t="s">
        <v>176</v>
      </c>
    </row>
    <row r="11" spans="1:1" x14ac:dyDescent="0.25">
      <c r="A11" s="74" t="s">
        <v>162</v>
      </c>
    </row>
    <row r="12" spans="1:1" ht="30" x14ac:dyDescent="0.25">
      <c r="A12" s="73" t="s">
        <v>178</v>
      </c>
    </row>
    <row r="13" spans="1:1" ht="45" x14ac:dyDescent="0.25">
      <c r="A13" s="73" t="s">
        <v>208</v>
      </c>
    </row>
    <row r="14" spans="1:1" x14ac:dyDescent="0.25">
      <c r="A14" s="73" t="s">
        <v>189</v>
      </c>
    </row>
    <row r="15" spans="1:1" x14ac:dyDescent="0.25">
      <c r="A15" s="74" t="s">
        <v>161</v>
      </c>
    </row>
    <row r="16" spans="1:1" x14ac:dyDescent="0.25">
      <c r="A16" s="73" t="s">
        <v>175</v>
      </c>
    </row>
    <row r="17" spans="1:1" ht="30" x14ac:dyDescent="0.25">
      <c r="A17" s="73" t="s">
        <v>190</v>
      </c>
    </row>
    <row r="18" spans="1:1" x14ac:dyDescent="0.25">
      <c r="A18" s="74" t="s">
        <v>191</v>
      </c>
    </row>
    <row r="19" spans="1:1" ht="30" x14ac:dyDescent="0.25">
      <c r="A19" s="73" t="s">
        <v>192</v>
      </c>
    </row>
    <row r="20" spans="1:1" ht="45" x14ac:dyDescent="0.25">
      <c r="A20" s="73" t="s">
        <v>209</v>
      </c>
    </row>
    <row r="21" spans="1:1" x14ac:dyDescent="0.25">
      <c r="A21" s="75" t="s">
        <v>153</v>
      </c>
    </row>
    <row r="22" spans="1:1" x14ac:dyDescent="0.25">
      <c r="A22" s="74" t="s">
        <v>162</v>
      </c>
    </row>
    <row r="23" spans="1:1" ht="30" x14ac:dyDescent="0.25">
      <c r="A23" s="73" t="s">
        <v>210</v>
      </c>
    </row>
    <row r="24" spans="1:1" ht="30" x14ac:dyDescent="0.25">
      <c r="A24" s="73" t="s">
        <v>174</v>
      </c>
    </row>
    <row r="25" spans="1:1" x14ac:dyDescent="0.25">
      <c r="A25" s="74" t="s">
        <v>161</v>
      </c>
    </row>
    <row r="26" spans="1:1" ht="30" x14ac:dyDescent="0.25">
      <c r="A26" s="73" t="s">
        <v>157</v>
      </c>
    </row>
    <row r="27" spans="1:1" ht="30" x14ac:dyDescent="0.25">
      <c r="A27" s="73" t="s">
        <v>163</v>
      </c>
    </row>
    <row r="28" spans="1:1" ht="30" x14ac:dyDescent="0.25">
      <c r="A28" s="73" t="s">
        <v>155</v>
      </c>
    </row>
    <row r="29" spans="1:1" x14ac:dyDescent="0.25">
      <c r="A29" s="73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O92"/>
  <sheetViews>
    <sheetView zoomScaleNormal="100" workbookViewId="0">
      <selection activeCell="M13" sqref="M13"/>
    </sheetView>
  </sheetViews>
  <sheetFormatPr defaultColWidth="8.85546875" defaultRowHeight="16.5" x14ac:dyDescent="0.25"/>
  <cols>
    <col min="1" max="1" width="4" style="21" customWidth="1"/>
    <col min="2" max="2" width="6.42578125" style="21" customWidth="1"/>
    <col min="3" max="3" width="3.28515625" style="21" customWidth="1"/>
    <col min="4" max="4" width="12.28515625" style="21" customWidth="1"/>
    <col min="5" max="10" width="4.85546875" style="21" customWidth="1"/>
    <col min="11" max="11" width="5.140625" style="21" customWidth="1"/>
    <col min="12" max="12" width="7.140625" style="21" customWidth="1"/>
    <col min="13" max="13" width="15.7109375" style="21" customWidth="1"/>
    <col min="14" max="14" width="4" style="21" customWidth="1"/>
    <col min="15" max="16384" width="8.85546875" style="21"/>
  </cols>
  <sheetData>
    <row r="1" spans="1:14" s="30" customFormat="1" ht="18" x14ac:dyDescent="0.25">
      <c r="A1" s="270" t="s">
        <v>75</v>
      </c>
      <c r="B1" s="270"/>
      <c r="C1" s="270"/>
      <c r="D1" s="270"/>
      <c r="E1" s="268" t="s">
        <v>188</v>
      </c>
      <c r="F1" s="268"/>
      <c r="G1" s="268"/>
      <c r="H1" s="268"/>
      <c r="I1" s="268"/>
      <c r="J1" s="268"/>
      <c r="K1" s="60" t="s">
        <v>2</v>
      </c>
      <c r="L1" s="268"/>
      <c r="M1" s="268"/>
      <c r="N1" s="268"/>
    </row>
    <row r="2" spans="1:14" s="30" customFormat="1" ht="18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2" t="s">
        <v>76</v>
      </c>
      <c r="L2" s="269"/>
      <c r="M2" s="269"/>
      <c r="N2" s="269"/>
    </row>
    <row r="4" spans="1:14" x14ac:dyDescent="0.25">
      <c r="G4" s="271" t="s">
        <v>77</v>
      </c>
      <c r="H4" s="272"/>
      <c r="I4" s="272"/>
      <c r="J4" s="272"/>
      <c r="K4" s="272"/>
      <c r="L4" s="276" t="s">
        <v>114</v>
      </c>
      <c r="M4" s="276"/>
      <c r="N4" s="277"/>
    </row>
    <row r="6" spans="1:14" x14ac:dyDescent="0.25">
      <c r="A6" s="251" t="s">
        <v>78</v>
      </c>
      <c r="B6" s="251"/>
      <c r="C6" s="251"/>
      <c r="D6" s="278">
        <f>контрагент</f>
        <v>0</v>
      </c>
      <c r="E6" s="278"/>
      <c r="F6" s="278"/>
      <c r="G6" s="278"/>
      <c r="H6" s="278"/>
      <c r="I6" s="278"/>
      <c r="J6" s="22"/>
    </row>
    <row r="8" spans="1:14" x14ac:dyDescent="0.25">
      <c r="A8" s="274" t="s">
        <v>118</v>
      </c>
      <c r="B8" s="274"/>
      <c r="C8" s="274"/>
      <c r="D8" s="274"/>
      <c r="E8" s="274"/>
      <c r="F8" s="274"/>
      <c r="G8" s="274"/>
      <c r="H8" s="275"/>
      <c r="I8" s="275"/>
      <c r="J8" s="275"/>
      <c r="K8" s="275"/>
      <c r="L8" s="275"/>
      <c r="M8" s="275"/>
      <c r="N8" s="275"/>
    </row>
    <row r="9" spans="1:14" x14ac:dyDescent="0.25">
      <c r="A9" s="275"/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</row>
    <row r="10" spans="1:14" x14ac:dyDescent="0.25">
      <c r="A10" s="275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</row>
    <row r="11" spans="1:14" x14ac:dyDescent="0.25">
      <c r="A11" s="23"/>
      <c r="B11" s="23"/>
      <c r="C11" s="66"/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4" ht="14.45" customHeight="1" x14ac:dyDescent="0.25">
      <c r="A12" s="251" t="s">
        <v>128</v>
      </c>
      <c r="B12" s="251"/>
      <c r="C12" s="279">
        <f>IF(MATCH(включить_НДС,НДС)=2,выручка+размер_НДС,выручка)</f>
        <v>84.830000000000013</v>
      </c>
      <c r="D12" s="279"/>
      <c r="E12" s="279"/>
      <c r="F12" s="251" t="str">
        <f>IF(MATCH(включить_НДС,НДС,0)=3,"НДС не облагается","в т.ч. НДС 18% ")</f>
        <v xml:space="preserve">в т.ч. НДС 18% </v>
      </c>
      <c r="G12" s="251"/>
      <c r="H12" s="251"/>
      <c r="I12" s="251"/>
      <c r="J12" s="251"/>
      <c r="K12" s="251"/>
      <c r="L12" s="251"/>
      <c r="M12" s="251"/>
    </row>
    <row r="13" spans="1:14" x14ac:dyDescent="0.25">
      <c r="C13" s="66"/>
      <c r="D13" s="23"/>
      <c r="E13" s="23"/>
    </row>
    <row r="14" spans="1:14" ht="14.45" customHeight="1" x14ac:dyDescent="0.25">
      <c r="A14" s="251" t="s">
        <v>95</v>
      </c>
      <c r="B14" s="251"/>
      <c r="C14" s="279">
        <f>IF(MATCH(включить_НДС,НДС)=2,(выручка+размер_НДС)-(себестоимость+размер_НДС_закупки),выручка-себестоимость)-IF(включить_транспортные_расходы="да",стоимость_доставки*INDEX(расчёт_курса,MATCH(валюта_расчёта,валюта,0),2),0)</f>
        <v>8.4971751412429519</v>
      </c>
      <c r="D14" s="279"/>
      <c r="E14" s="279"/>
      <c r="F14" s="273" t="str">
        <f>"("&amp;TEXT(маржа/IF(MATCH(включить_НДС,НДС)=2,выручка+размер_НДС,выручка),"0,00%")&amp;" от выручки) "&amp;IF(включить_транспортные_расходы="да","с учётом доставки","без учёта доставки")</f>
        <v>(10,02% от выручки) с учётом доставки</v>
      </c>
      <c r="G14" s="273"/>
      <c r="H14" s="273"/>
      <c r="I14" s="273"/>
      <c r="J14" s="273"/>
      <c r="K14" s="273"/>
      <c r="L14" s="273"/>
      <c r="M14" s="273"/>
    </row>
    <row r="15" spans="1:14" ht="17.25" thickBot="1" x14ac:dyDescent="0.3"/>
    <row r="16" spans="1:14" ht="17.25" thickTop="1" x14ac:dyDescent="0.25">
      <c r="A16" s="41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</row>
    <row r="17" spans="1:15" x14ac:dyDescent="0.25">
      <c r="A17" s="47"/>
      <c r="B17" s="250" t="s">
        <v>80</v>
      </c>
      <c r="C17" s="250"/>
      <c r="D17" s="250"/>
      <c r="E17" s="24"/>
      <c r="F17" s="24"/>
      <c r="G17" s="24"/>
      <c r="H17" s="24"/>
      <c r="I17" s="24"/>
      <c r="J17" s="24"/>
      <c r="K17" s="24"/>
      <c r="L17" s="24"/>
      <c r="M17" s="24"/>
      <c r="N17" s="48"/>
    </row>
    <row r="18" spans="1:15" x14ac:dyDescent="0.25">
      <c r="A18" s="47"/>
      <c r="B18" s="25"/>
      <c r="C18" s="65"/>
      <c r="D18" s="25"/>
      <c r="E18" s="24"/>
      <c r="F18" s="24"/>
      <c r="G18" s="24"/>
      <c r="H18" s="24"/>
      <c r="I18" s="24"/>
      <c r="J18" s="24"/>
      <c r="K18" s="24"/>
      <c r="L18" s="24"/>
      <c r="M18" s="24"/>
      <c r="N18" s="48"/>
    </row>
    <row r="19" spans="1:15" ht="14.45" customHeight="1" x14ac:dyDescent="0.25">
      <c r="A19" s="47"/>
      <c r="B19" s="26" t="s">
        <v>116</v>
      </c>
      <c r="C19" s="249" t="s">
        <v>117</v>
      </c>
      <c r="D19" s="249"/>
      <c r="E19" s="249" t="s">
        <v>135</v>
      </c>
      <c r="F19" s="249"/>
      <c r="G19" s="249" t="s">
        <v>119</v>
      </c>
      <c r="H19" s="249"/>
      <c r="I19" s="249"/>
      <c r="J19" s="249" t="s">
        <v>120</v>
      </c>
      <c r="K19" s="249"/>
      <c r="L19" s="249"/>
      <c r="M19" s="249"/>
      <c r="N19" s="48"/>
    </row>
    <row r="20" spans="1:15" ht="14.45" customHeight="1" x14ac:dyDescent="0.25">
      <c r="A20" s="47"/>
      <c r="B20" s="22">
        <v>1</v>
      </c>
      <c r="C20" s="259"/>
      <c r="D20" s="259"/>
      <c r="E20" s="256"/>
      <c r="F20" s="256"/>
      <c r="G20" s="79"/>
      <c r="H20" s="77"/>
      <c r="I20" s="77"/>
      <c r="J20" s="254"/>
      <c r="K20" s="254"/>
      <c r="L20" s="254"/>
      <c r="M20" s="254"/>
      <c r="N20" s="48"/>
    </row>
    <row r="21" spans="1:15" ht="14.45" customHeight="1" x14ac:dyDescent="0.25">
      <c r="A21" s="47"/>
      <c r="B21" s="83">
        <v>2</v>
      </c>
      <c r="C21" s="258"/>
      <c r="D21" s="258"/>
      <c r="E21" s="257"/>
      <c r="F21" s="257"/>
      <c r="G21" s="82"/>
      <c r="H21" s="80"/>
      <c r="I21" s="81"/>
      <c r="J21" s="255"/>
      <c r="K21" s="255"/>
      <c r="L21" s="255"/>
      <c r="M21" s="255"/>
      <c r="N21" s="48"/>
    </row>
    <row r="22" spans="1:15" ht="14.45" customHeight="1" x14ac:dyDescent="0.25">
      <c r="A22" s="47"/>
      <c r="B22" s="22">
        <v>3</v>
      </c>
      <c r="C22" s="258"/>
      <c r="D22" s="258"/>
      <c r="E22" s="257"/>
      <c r="F22" s="257"/>
      <c r="G22" s="78"/>
      <c r="H22" s="76"/>
      <c r="I22" s="77"/>
      <c r="J22" s="255"/>
      <c r="K22" s="255"/>
      <c r="L22" s="255"/>
      <c r="M22" s="255"/>
      <c r="N22" s="48"/>
    </row>
    <row r="23" spans="1:15" x14ac:dyDescent="0.25">
      <c r="A23" s="47"/>
      <c r="B23" s="2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59"/>
    </row>
    <row r="24" spans="1:15" ht="14.45" customHeight="1" x14ac:dyDescent="0.25">
      <c r="A24" s="47"/>
      <c r="B24" s="67" t="s">
        <v>115</v>
      </c>
      <c r="C24" s="256"/>
      <c r="D24" s="256"/>
      <c r="E24" s="25"/>
      <c r="F24" s="253" t="s">
        <v>121</v>
      </c>
      <c r="G24" s="253"/>
      <c r="H24" s="253"/>
      <c r="I24" s="253"/>
      <c r="J24" s="253"/>
      <c r="K24" s="256"/>
      <c r="L24" s="256"/>
      <c r="M24" s="25"/>
      <c r="N24" s="59"/>
    </row>
    <row r="25" spans="1:15" ht="17.25" thickBot="1" x14ac:dyDescent="0.3">
      <c r="A25" s="50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6"/>
    </row>
    <row r="26" spans="1:15" ht="18" thickTop="1" thickBot="1" x14ac:dyDescent="0.3"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1:15" ht="17.25" thickTop="1" x14ac:dyDescent="0.25">
      <c r="A27" s="41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</row>
    <row r="28" spans="1:15" s="29" customFormat="1" ht="15.75" x14ac:dyDescent="0.25">
      <c r="A28" s="45"/>
      <c r="B28" s="250" t="s">
        <v>122</v>
      </c>
      <c r="C28" s="250"/>
      <c r="D28" s="250"/>
      <c r="E28" s="250"/>
      <c r="F28" s="250"/>
      <c r="G28" s="250"/>
      <c r="H28" s="250"/>
      <c r="I28" s="250"/>
      <c r="J28" s="31"/>
      <c r="K28" s="31"/>
      <c r="L28" s="31"/>
      <c r="M28" s="31"/>
      <c r="N28" s="46"/>
    </row>
    <row r="29" spans="1:15" x14ac:dyDescent="0.25">
      <c r="A29" s="47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48"/>
    </row>
    <row r="30" spans="1:15" ht="14.45" customHeight="1" x14ac:dyDescent="0.25">
      <c r="A30" s="47"/>
      <c r="B30" s="26" t="s">
        <v>116</v>
      </c>
      <c r="C30" s="249" t="s">
        <v>123</v>
      </c>
      <c r="D30" s="249"/>
      <c r="E30" s="249"/>
      <c r="F30" s="249" t="s">
        <v>135</v>
      </c>
      <c r="G30" s="249"/>
      <c r="H30" s="249" t="s">
        <v>119</v>
      </c>
      <c r="I30" s="249"/>
      <c r="J30" s="249"/>
      <c r="K30" s="249" t="s">
        <v>120</v>
      </c>
      <c r="L30" s="249"/>
      <c r="M30" s="249"/>
      <c r="N30" s="57"/>
      <c r="O30" s="24"/>
    </row>
    <row r="31" spans="1:15" ht="14.45" customHeight="1" x14ac:dyDescent="0.25">
      <c r="A31" s="47"/>
      <c r="B31" s="22">
        <v>1</v>
      </c>
      <c r="C31" s="260"/>
      <c r="D31" s="260"/>
      <c r="E31" s="260"/>
      <c r="F31" s="261"/>
      <c r="G31" s="261"/>
      <c r="H31" s="72"/>
      <c r="I31" s="72"/>
      <c r="J31" s="72"/>
      <c r="K31" s="254"/>
      <c r="L31" s="254"/>
      <c r="M31" s="254"/>
      <c r="N31" s="58"/>
    </row>
    <row r="32" spans="1:15" ht="14.45" customHeight="1" x14ac:dyDescent="0.25">
      <c r="A32" s="47"/>
      <c r="B32" s="83">
        <v>2</v>
      </c>
      <c r="C32" s="260"/>
      <c r="D32" s="260"/>
      <c r="E32" s="260"/>
      <c r="F32" s="261"/>
      <c r="G32" s="261"/>
      <c r="H32" s="81"/>
      <c r="I32" s="81"/>
      <c r="J32" s="81"/>
      <c r="K32" s="254"/>
      <c r="L32" s="254"/>
      <c r="M32" s="254"/>
      <c r="N32" s="58"/>
    </row>
    <row r="33" spans="1:14" ht="14.45" customHeight="1" x14ac:dyDescent="0.25">
      <c r="A33" s="47"/>
      <c r="B33" s="83">
        <v>3</v>
      </c>
      <c r="C33" s="260"/>
      <c r="D33" s="260"/>
      <c r="E33" s="260"/>
      <c r="F33" s="261"/>
      <c r="G33" s="261"/>
      <c r="H33" s="81"/>
      <c r="I33" s="81"/>
      <c r="J33" s="81"/>
      <c r="K33" s="254"/>
      <c r="L33" s="254"/>
      <c r="M33" s="254"/>
      <c r="N33" s="58"/>
    </row>
    <row r="34" spans="1:14" x14ac:dyDescent="0.25">
      <c r="A34" s="47"/>
      <c r="B34" s="24"/>
      <c r="C34" s="67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48"/>
    </row>
    <row r="35" spans="1:14" ht="14.45" customHeight="1" x14ac:dyDescent="0.25">
      <c r="A35" s="47"/>
      <c r="B35" s="67" t="s">
        <v>115</v>
      </c>
      <c r="C35" s="256"/>
      <c r="D35" s="256"/>
      <c r="E35" s="25"/>
      <c r="F35" s="253" t="s">
        <v>121</v>
      </c>
      <c r="G35" s="253"/>
      <c r="H35" s="253"/>
      <c r="I35" s="253"/>
      <c r="J35" s="253"/>
      <c r="K35" s="256"/>
      <c r="L35" s="256"/>
      <c r="M35" s="24"/>
      <c r="N35" s="48"/>
    </row>
    <row r="36" spans="1:14" ht="17.25" thickBot="1" x14ac:dyDescent="0.3">
      <c r="A36" s="50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6"/>
    </row>
    <row r="37" spans="1:14" ht="18" thickTop="1" thickBot="1" x14ac:dyDescent="0.3"/>
    <row r="38" spans="1:14" ht="17.25" thickTop="1" x14ac:dyDescent="0.25">
      <c r="A38" s="41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</row>
    <row r="39" spans="1:14" s="29" customFormat="1" ht="15.75" x14ac:dyDescent="0.25">
      <c r="A39" s="45"/>
      <c r="B39" s="250" t="s">
        <v>125</v>
      </c>
      <c r="C39" s="250"/>
      <c r="D39" s="250"/>
      <c r="E39" s="31"/>
      <c r="F39" s="31"/>
      <c r="G39" s="31"/>
      <c r="H39" s="31"/>
      <c r="I39" s="31"/>
      <c r="J39" s="31"/>
      <c r="K39" s="31"/>
      <c r="L39" s="31"/>
      <c r="M39" s="31"/>
      <c r="N39" s="46"/>
    </row>
    <row r="40" spans="1:14" x14ac:dyDescent="0.25">
      <c r="A40" s="47"/>
      <c r="B40" s="24"/>
      <c r="C40" s="67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48"/>
    </row>
    <row r="41" spans="1:14" x14ac:dyDescent="0.25">
      <c r="A41" s="47"/>
      <c r="B41" s="265" t="s">
        <v>124</v>
      </c>
      <c r="C41" s="265"/>
      <c r="D41" s="265"/>
      <c r="E41" s="266"/>
      <c r="F41" s="266"/>
      <c r="G41" s="24"/>
      <c r="H41" s="267" t="s">
        <v>126</v>
      </c>
      <c r="I41" s="267"/>
      <c r="J41" s="267"/>
      <c r="K41" s="264"/>
      <c r="L41" s="264"/>
      <c r="M41" s="32"/>
      <c r="N41" s="48"/>
    </row>
    <row r="42" spans="1:14" x14ac:dyDescent="0.25">
      <c r="A42" s="47"/>
      <c r="B42" s="24"/>
      <c r="C42" s="67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48"/>
    </row>
    <row r="43" spans="1:14" x14ac:dyDescent="0.25">
      <c r="A43" s="47"/>
      <c r="B43" s="265" t="s">
        <v>127</v>
      </c>
      <c r="C43" s="265"/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48"/>
    </row>
    <row r="44" spans="1:14" x14ac:dyDescent="0.25">
      <c r="A44" s="47"/>
      <c r="B44" s="24"/>
      <c r="C44" s="68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48"/>
    </row>
    <row r="45" spans="1:14" ht="17.25" thickBot="1" x14ac:dyDescent="0.3">
      <c r="A45" s="50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6"/>
    </row>
    <row r="46" spans="1:14" ht="18" thickTop="1" thickBot="1" x14ac:dyDescent="0.3">
      <c r="B46" s="27"/>
      <c r="C46" s="64"/>
      <c r="D46" s="27"/>
      <c r="E46" s="28"/>
      <c r="F46" s="28"/>
      <c r="G46" s="28"/>
      <c r="H46" s="28"/>
      <c r="I46" s="28"/>
      <c r="J46" s="28"/>
      <c r="K46" s="28"/>
    </row>
    <row r="47" spans="1:14" ht="17.25" thickTop="1" x14ac:dyDescent="0.25">
      <c r="A47" s="41"/>
      <c r="B47" s="54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</row>
    <row r="48" spans="1:14" s="29" customFormat="1" ht="15.75" x14ac:dyDescent="0.25">
      <c r="A48" s="45"/>
      <c r="B48" s="250" t="s">
        <v>99</v>
      </c>
      <c r="C48" s="250"/>
      <c r="E48" s="71" t="s">
        <v>71</v>
      </c>
      <c r="F48" s="31"/>
      <c r="H48" s="31"/>
      <c r="I48" s="31"/>
      <c r="J48" s="31"/>
      <c r="K48" s="31"/>
      <c r="L48" s="31"/>
      <c r="M48" s="31"/>
      <c r="N48" s="46"/>
    </row>
    <row r="49" spans="1:14" hidden="1" x14ac:dyDescent="0.25">
      <c r="A49" s="47"/>
      <c r="B49" s="24"/>
      <c r="C49" s="67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48"/>
    </row>
    <row r="50" spans="1:14" hidden="1" x14ac:dyDescent="0.25">
      <c r="A50" s="47"/>
      <c r="B50" s="265" t="s">
        <v>100</v>
      </c>
      <c r="C50" s="265"/>
      <c r="D50" s="265"/>
      <c r="E50" s="252"/>
      <c r="F50" s="252"/>
      <c r="G50" s="252"/>
      <c r="H50" s="252"/>
      <c r="I50" s="252"/>
      <c r="J50" s="253" t="s">
        <v>102</v>
      </c>
      <c r="K50" s="253"/>
      <c r="L50" s="39" t="s">
        <v>148</v>
      </c>
      <c r="M50" s="24"/>
      <c r="N50" s="48"/>
    </row>
    <row r="51" spans="1:14" hidden="1" x14ac:dyDescent="0.25">
      <c r="A51" s="47"/>
      <c r="B51" s="24"/>
      <c r="C51" s="67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48"/>
    </row>
    <row r="52" spans="1:14" hidden="1" x14ac:dyDescent="0.25">
      <c r="A52" s="47"/>
      <c r="B52" s="265" t="s">
        <v>113</v>
      </c>
      <c r="C52" s="265"/>
      <c r="D52" s="265"/>
      <c r="E52" s="280"/>
      <c r="F52" s="280"/>
      <c r="G52" s="280"/>
      <c r="H52" s="280"/>
      <c r="I52" s="280"/>
      <c r="J52" s="280"/>
      <c r="K52" s="280"/>
      <c r="L52" s="280"/>
      <c r="M52" s="280"/>
      <c r="N52" s="48"/>
    </row>
    <row r="53" spans="1:14" hidden="1" x14ac:dyDescent="0.25">
      <c r="A53" s="47"/>
      <c r="B53" s="24"/>
      <c r="C53" s="67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48"/>
    </row>
    <row r="54" spans="1:14" hidden="1" x14ac:dyDescent="0.25">
      <c r="A54" s="47"/>
      <c r="B54" s="282" t="s">
        <v>55</v>
      </c>
      <c r="C54" s="282"/>
      <c r="D54" s="282"/>
      <c r="E54" s="282"/>
      <c r="F54" s="282"/>
      <c r="G54" s="282"/>
      <c r="H54" s="282"/>
      <c r="I54" s="283"/>
      <c r="J54" s="283"/>
      <c r="K54" s="283"/>
      <c r="L54" s="283"/>
      <c r="M54" s="283"/>
      <c r="N54" s="48"/>
    </row>
    <row r="55" spans="1:14" hidden="1" x14ac:dyDescent="0.25">
      <c r="A55" s="47"/>
      <c r="B55" s="282" t="s">
        <v>54</v>
      </c>
      <c r="C55" s="282"/>
      <c r="D55" s="282"/>
      <c r="E55" s="282"/>
      <c r="F55" s="282"/>
      <c r="G55" s="282"/>
      <c r="H55" s="282"/>
      <c r="I55" s="284"/>
      <c r="J55" s="284"/>
      <c r="K55" s="284"/>
      <c r="L55" s="284"/>
      <c r="M55" s="284"/>
      <c r="N55" s="48"/>
    </row>
    <row r="56" spans="1:14" hidden="1" x14ac:dyDescent="0.25">
      <c r="A56" s="47"/>
      <c r="B56" s="282" t="s">
        <v>64</v>
      </c>
      <c r="C56" s="282"/>
      <c r="D56" s="282"/>
      <c r="E56" s="282"/>
      <c r="F56" s="282"/>
      <c r="G56" s="282"/>
      <c r="H56" s="282"/>
      <c r="I56" s="284"/>
      <c r="J56" s="284"/>
      <c r="K56" s="284"/>
      <c r="L56" s="284"/>
      <c r="M56" s="284"/>
      <c r="N56" s="48"/>
    </row>
    <row r="57" spans="1:14" hidden="1" x14ac:dyDescent="0.25">
      <c r="A57" s="47"/>
      <c r="B57" s="282" t="s">
        <v>56</v>
      </c>
      <c r="C57" s="282"/>
      <c r="D57" s="282"/>
      <c r="E57" s="282"/>
      <c r="F57" s="282"/>
      <c r="G57" s="282"/>
      <c r="H57" s="282"/>
      <c r="I57" s="284"/>
      <c r="J57" s="284"/>
      <c r="K57" s="284"/>
      <c r="L57" s="284"/>
      <c r="M57" s="284"/>
      <c r="N57" s="48"/>
    </row>
    <row r="58" spans="1:14" hidden="1" x14ac:dyDescent="0.25">
      <c r="A58" s="47"/>
      <c r="B58" s="24"/>
      <c r="C58" s="67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48"/>
    </row>
    <row r="59" spans="1:14" hidden="1" x14ac:dyDescent="0.25">
      <c r="A59" s="47"/>
      <c r="B59" s="265" t="s">
        <v>101</v>
      </c>
      <c r="C59" s="265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70"/>
    </row>
    <row r="60" spans="1:14" ht="17.25" thickBot="1" x14ac:dyDescent="0.3">
      <c r="A60" s="50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6"/>
    </row>
    <row r="61" spans="1:14" ht="18" thickTop="1" thickBot="1" x14ac:dyDescent="0.3"/>
    <row r="62" spans="1:14" ht="17.25" thickTop="1" x14ac:dyDescent="0.25">
      <c r="A62" s="41"/>
      <c r="B62" s="285"/>
      <c r="C62" s="285"/>
      <c r="D62" s="285"/>
      <c r="E62" s="285"/>
      <c r="F62" s="42"/>
      <c r="G62" s="43"/>
      <c r="H62" s="43"/>
      <c r="I62" s="43"/>
      <c r="J62" s="43"/>
      <c r="K62" s="43"/>
      <c r="L62" s="43"/>
      <c r="M62" s="43"/>
      <c r="N62" s="44"/>
    </row>
    <row r="63" spans="1:14" s="29" customFormat="1" ht="15.75" x14ac:dyDescent="0.25">
      <c r="A63" s="45"/>
      <c r="B63" s="250" t="s">
        <v>96</v>
      </c>
      <c r="C63" s="250"/>
      <c r="D63" s="250"/>
      <c r="E63" s="250"/>
      <c r="F63" s="250"/>
      <c r="G63" s="71" t="s">
        <v>71</v>
      </c>
      <c r="H63" s="31"/>
      <c r="I63" s="31"/>
      <c r="J63" s="31"/>
      <c r="K63" s="31"/>
      <c r="L63" s="31"/>
      <c r="M63" s="31"/>
      <c r="N63" s="46"/>
    </row>
    <row r="64" spans="1:14" hidden="1" x14ac:dyDescent="0.25">
      <c r="A64" s="47"/>
      <c r="B64" s="24"/>
      <c r="C64" s="67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48"/>
    </row>
    <row r="65" spans="1:14" hidden="1" x14ac:dyDescent="0.25">
      <c r="A65" s="47"/>
      <c r="B65" s="265" t="s">
        <v>97</v>
      </c>
      <c r="C65" s="265"/>
      <c r="D65" s="265"/>
      <c r="E65" s="281"/>
      <c r="F65" s="281"/>
      <c r="G65" s="281"/>
      <c r="H65" s="281"/>
      <c r="I65" s="281"/>
      <c r="J65" s="24"/>
      <c r="K65" s="253" t="s">
        <v>23</v>
      </c>
      <c r="L65" s="253"/>
      <c r="M65" s="40"/>
      <c r="N65" s="49"/>
    </row>
    <row r="66" spans="1:14" hidden="1" x14ac:dyDescent="0.25">
      <c r="A66" s="47"/>
      <c r="B66" s="25"/>
      <c r="C66" s="65"/>
      <c r="D66" s="25"/>
      <c r="E66" s="25"/>
      <c r="F66" s="25"/>
      <c r="G66" s="25"/>
      <c r="H66" s="25"/>
      <c r="I66" s="25"/>
      <c r="J66" s="25"/>
      <c r="K66" s="25"/>
      <c r="L66" s="22"/>
      <c r="M66" s="22"/>
      <c r="N66" s="49"/>
    </row>
    <row r="67" spans="1:14" hidden="1" x14ac:dyDescent="0.25">
      <c r="A67" s="47"/>
      <c r="B67" s="265" t="s">
        <v>98</v>
      </c>
      <c r="C67" s="265"/>
      <c r="D67" s="265"/>
      <c r="E67" s="281"/>
      <c r="F67" s="281"/>
      <c r="G67" s="281"/>
      <c r="H67" s="281"/>
      <c r="I67" s="281"/>
      <c r="J67" s="281"/>
      <c r="K67" s="281"/>
      <c r="L67" s="281"/>
      <c r="M67" s="281"/>
      <c r="N67" s="49"/>
    </row>
    <row r="68" spans="1:14" ht="17.25" thickBot="1" x14ac:dyDescent="0.3">
      <c r="A68" s="50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2"/>
      <c r="M68" s="52"/>
      <c r="N68" s="53"/>
    </row>
    <row r="69" spans="1:14" ht="17.25" thickTop="1" x14ac:dyDescent="0.25">
      <c r="B69" s="27"/>
      <c r="C69" s="64"/>
      <c r="D69" s="27"/>
      <c r="E69" s="27"/>
      <c r="F69" s="27"/>
      <c r="G69" s="27"/>
      <c r="H69" s="27"/>
      <c r="I69" s="27"/>
      <c r="J69" s="27"/>
      <c r="K69" s="27"/>
      <c r="L69" s="23"/>
      <c r="M69" s="23"/>
      <c r="N69" s="23"/>
    </row>
    <row r="70" spans="1:14" ht="14.45" customHeight="1" x14ac:dyDescent="0.25">
      <c r="A70" s="251" t="s">
        <v>81</v>
      </c>
      <c r="B70" s="251"/>
      <c r="C70" s="251"/>
      <c r="D70" s="251"/>
      <c r="E70" s="260"/>
      <c r="F70" s="260"/>
      <c r="G70" s="260"/>
      <c r="H70" s="260"/>
      <c r="I70" s="260"/>
      <c r="J70" s="28"/>
      <c r="K70" s="28"/>
    </row>
    <row r="71" spans="1:14" x14ac:dyDescent="0.25">
      <c r="A71" s="27"/>
      <c r="B71" s="27"/>
      <c r="C71" s="64"/>
      <c r="D71" s="27"/>
    </row>
    <row r="72" spans="1:14" x14ac:dyDescent="0.25">
      <c r="A72" s="27"/>
      <c r="B72" s="27"/>
      <c r="C72" s="64"/>
      <c r="D72" s="27"/>
    </row>
    <row r="73" spans="1:14" ht="14.45" customHeight="1" x14ac:dyDescent="0.25">
      <c r="A73" s="251" t="s">
        <v>79</v>
      </c>
      <c r="B73" s="251"/>
      <c r="C73" s="251"/>
      <c r="D73" s="251"/>
      <c r="E73" s="288"/>
      <c r="F73" s="288"/>
      <c r="G73" s="288"/>
      <c r="H73" s="288"/>
      <c r="I73" s="291"/>
      <c r="J73" s="291"/>
      <c r="K73" s="291"/>
      <c r="L73" s="291"/>
      <c r="M73" s="69"/>
    </row>
    <row r="74" spans="1:14" ht="18" x14ac:dyDescent="0.25">
      <c r="E74" s="289" t="s">
        <v>89</v>
      </c>
      <c r="F74" s="289"/>
      <c r="G74" s="290"/>
      <c r="H74" s="290"/>
      <c r="I74" s="23"/>
      <c r="J74" s="23"/>
      <c r="K74" s="23"/>
    </row>
    <row r="76" spans="1:14" ht="14.45" customHeight="1" x14ac:dyDescent="0.25">
      <c r="A76" s="293" t="s">
        <v>82</v>
      </c>
      <c r="B76" s="293"/>
      <c r="C76" s="293"/>
      <c r="D76" s="293"/>
    </row>
    <row r="78" spans="1:14" ht="14.45" customHeight="1" x14ac:dyDescent="0.25">
      <c r="A78" s="286" t="s">
        <v>83</v>
      </c>
      <c r="B78" s="286"/>
      <c r="C78" s="286"/>
      <c r="D78" s="286"/>
      <c r="E78" s="286"/>
      <c r="F78" s="286"/>
      <c r="G78" s="286"/>
      <c r="I78" s="27"/>
      <c r="J78" s="27"/>
      <c r="K78" s="27"/>
    </row>
    <row r="79" spans="1:14" ht="14.45" customHeight="1" x14ac:dyDescent="0.25">
      <c r="A79" s="286"/>
      <c r="B79" s="286"/>
      <c r="C79" s="286"/>
      <c r="D79" s="286"/>
      <c r="E79" s="286"/>
      <c r="F79" s="286"/>
      <c r="G79" s="286"/>
      <c r="I79" s="292"/>
      <c r="J79" s="292"/>
      <c r="K79" s="292"/>
      <c r="L79" s="292"/>
      <c r="M79" s="292"/>
      <c r="N79" s="292"/>
    </row>
    <row r="80" spans="1:14" ht="18" x14ac:dyDescent="0.3">
      <c r="A80" s="63"/>
      <c r="B80" s="63"/>
      <c r="C80" s="63"/>
      <c r="D80" s="63"/>
      <c r="E80" s="63"/>
      <c r="F80" s="63"/>
      <c r="G80" s="63"/>
      <c r="I80" s="294" t="s">
        <v>130</v>
      </c>
      <c r="J80" s="294"/>
      <c r="K80" s="294"/>
      <c r="L80" s="294"/>
      <c r="M80" s="294"/>
      <c r="N80" s="294"/>
    </row>
    <row r="81" spans="1:14" ht="14.45" customHeight="1" x14ac:dyDescent="0.25">
      <c r="A81" s="286" t="s">
        <v>84</v>
      </c>
      <c r="B81" s="286"/>
      <c r="C81" s="286"/>
      <c r="D81" s="286"/>
      <c r="E81" s="286"/>
      <c r="F81" s="286"/>
      <c r="G81" s="286"/>
      <c r="I81" s="27"/>
      <c r="J81" s="27"/>
      <c r="K81" s="27"/>
    </row>
    <row r="82" spans="1:14" ht="14.45" customHeight="1" x14ac:dyDescent="0.25">
      <c r="A82" s="286"/>
      <c r="B82" s="286"/>
      <c r="C82" s="286"/>
      <c r="D82" s="286"/>
      <c r="E82" s="286"/>
      <c r="F82" s="286"/>
      <c r="G82" s="286"/>
      <c r="I82" s="292"/>
      <c r="J82" s="292"/>
      <c r="K82" s="292"/>
      <c r="L82" s="292"/>
      <c r="M82" s="292"/>
      <c r="N82" s="292"/>
    </row>
    <row r="83" spans="1:14" ht="18" x14ac:dyDescent="0.3">
      <c r="A83" s="63"/>
      <c r="B83" s="63"/>
      <c r="C83" s="63"/>
      <c r="D83" s="63"/>
      <c r="E83" s="63"/>
      <c r="F83" s="63"/>
      <c r="G83" s="63"/>
      <c r="I83" s="294" t="s">
        <v>130</v>
      </c>
      <c r="J83" s="294"/>
      <c r="K83" s="294"/>
      <c r="L83" s="294"/>
      <c r="M83" s="294"/>
      <c r="N83" s="294"/>
    </row>
    <row r="84" spans="1:14" ht="14.45" customHeight="1" x14ac:dyDescent="0.25">
      <c r="A84" s="287" t="s">
        <v>85</v>
      </c>
      <c r="B84" s="287"/>
      <c r="C84" s="287"/>
      <c r="D84" s="287"/>
      <c r="E84" s="287"/>
      <c r="F84" s="287"/>
      <c r="G84" s="287"/>
      <c r="I84" s="27"/>
      <c r="J84" s="27"/>
      <c r="K84" s="27"/>
    </row>
    <row r="85" spans="1:14" ht="14.45" customHeight="1" x14ac:dyDescent="0.25">
      <c r="A85" s="287"/>
      <c r="B85" s="287"/>
      <c r="C85" s="287"/>
      <c r="D85" s="287"/>
      <c r="E85" s="287"/>
      <c r="F85" s="287"/>
      <c r="G85" s="287"/>
      <c r="I85" s="292"/>
      <c r="J85" s="292"/>
      <c r="K85" s="292"/>
      <c r="L85" s="292"/>
      <c r="M85" s="292"/>
      <c r="N85" s="292"/>
    </row>
    <row r="86" spans="1:14" ht="18" x14ac:dyDescent="0.3">
      <c r="A86" s="63"/>
      <c r="B86" s="63"/>
      <c r="C86" s="63"/>
      <c r="D86" s="63"/>
      <c r="E86" s="63"/>
      <c r="F86" s="63"/>
      <c r="G86" s="63"/>
      <c r="I86" s="295" t="s">
        <v>130</v>
      </c>
      <c r="J86" s="295"/>
      <c r="K86" s="295"/>
      <c r="L86" s="295"/>
      <c r="M86" s="295"/>
      <c r="N86" s="295"/>
    </row>
    <row r="87" spans="1:14" ht="14.45" customHeight="1" x14ac:dyDescent="0.25">
      <c r="A87" s="286" t="s">
        <v>86</v>
      </c>
      <c r="B87" s="286"/>
      <c r="C87" s="286"/>
      <c r="D87" s="286"/>
      <c r="E87" s="286"/>
      <c r="F87" s="286"/>
      <c r="G87" s="286"/>
      <c r="I87" s="27"/>
      <c r="J87" s="27"/>
      <c r="K87" s="27"/>
    </row>
    <row r="88" spans="1:14" ht="14.45" customHeight="1" x14ac:dyDescent="0.25">
      <c r="A88" s="286"/>
      <c r="B88" s="286"/>
      <c r="C88" s="286"/>
      <c r="D88" s="286"/>
      <c r="E88" s="286"/>
      <c r="F88" s="286"/>
      <c r="G88" s="286"/>
      <c r="I88" s="292"/>
      <c r="J88" s="292"/>
      <c r="K88" s="292"/>
      <c r="L88" s="292"/>
      <c r="M88" s="292"/>
      <c r="N88" s="292"/>
    </row>
    <row r="89" spans="1:14" ht="18" x14ac:dyDescent="0.3">
      <c r="A89" s="63"/>
      <c r="B89" s="63"/>
      <c r="C89" s="63"/>
      <c r="D89" s="63"/>
      <c r="E89" s="63"/>
      <c r="F89" s="63"/>
      <c r="G89" s="63"/>
      <c r="I89" s="294" t="s">
        <v>130</v>
      </c>
      <c r="J89" s="294"/>
      <c r="K89" s="294"/>
      <c r="L89" s="294"/>
      <c r="M89" s="294"/>
      <c r="N89" s="294"/>
    </row>
    <row r="90" spans="1:14" ht="14.45" customHeight="1" x14ac:dyDescent="0.25">
      <c r="A90" s="286" t="s">
        <v>87</v>
      </c>
      <c r="B90" s="286"/>
      <c r="C90" s="286"/>
      <c r="D90" s="286"/>
      <c r="E90" s="286"/>
      <c r="F90" s="286"/>
      <c r="G90" s="286"/>
      <c r="I90" s="27"/>
      <c r="J90" s="27"/>
      <c r="K90" s="27"/>
    </row>
    <row r="91" spans="1:14" ht="14.45" customHeight="1" x14ac:dyDescent="0.25">
      <c r="A91" s="286"/>
      <c r="B91" s="286"/>
      <c r="C91" s="286"/>
      <c r="D91" s="286"/>
      <c r="E91" s="286"/>
      <c r="F91" s="286"/>
      <c r="G91" s="286"/>
      <c r="I91" s="292"/>
      <c r="J91" s="292"/>
      <c r="K91" s="292"/>
      <c r="L91" s="292"/>
      <c r="M91" s="292"/>
      <c r="N91" s="292"/>
    </row>
    <row r="92" spans="1:14" ht="18" x14ac:dyDescent="0.25">
      <c r="I92" s="294" t="s">
        <v>130</v>
      </c>
      <c r="J92" s="294"/>
      <c r="K92" s="294"/>
      <c r="L92" s="294"/>
      <c r="M92" s="294"/>
      <c r="N92" s="294"/>
    </row>
  </sheetData>
  <mergeCells count="105">
    <mergeCell ref="I92:N92"/>
    <mergeCell ref="I85:N85"/>
    <mergeCell ref="I80:N80"/>
    <mergeCell ref="I83:N83"/>
    <mergeCell ref="I82:N82"/>
    <mergeCell ref="I88:N88"/>
    <mergeCell ref="I91:N91"/>
    <mergeCell ref="I86:N86"/>
    <mergeCell ref="I89:N89"/>
    <mergeCell ref="A87:G88"/>
    <mergeCell ref="A90:G91"/>
    <mergeCell ref="A84:G85"/>
    <mergeCell ref="B65:D65"/>
    <mergeCell ref="E73:H73"/>
    <mergeCell ref="E74:H74"/>
    <mergeCell ref="E67:M67"/>
    <mergeCell ref="I73:L73"/>
    <mergeCell ref="E70:I70"/>
    <mergeCell ref="B67:D67"/>
    <mergeCell ref="A78:G79"/>
    <mergeCell ref="A81:G82"/>
    <mergeCell ref="I79:N79"/>
    <mergeCell ref="A70:D70"/>
    <mergeCell ref="A73:D73"/>
    <mergeCell ref="A76:D76"/>
    <mergeCell ref="E52:M52"/>
    <mergeCell ref="B52:D52"/>
    <mergeCell ref="E65:I65"/>
    <mergeCell ref="B63:F63"/>
    <mergeCell ref="B54:H54"/>
    <mergeCell ref="B55:H55"/>
    <mergeCell ref="B56:H56"/>
    <mergeCell ref="B57:H57"/>
    <mergeCell ref="I54:M54"/>
    <mergeCell ref="I55:M55"/>
    <mergeCell ref="I56:M56"/>
    <mergeCell ref="I57:M57"/>
    <mergeCell ref="K65:L65"/>
    <mergeCell ref="B59:C59"/>
    <mergeCell ref="D59:M59"/>
    <mergeCell ref="B62:E62"/>
    <mergeCell ref="E1:J1"/>
    <mergeCell ref="L1:N1"/>
    <mergeCell ref="L2:N2"/>
    <mergeCell ref="A1:D1"/>
    <mergeCell ref="G4:K4"/>
    <mergeCell ref="F14:M14"/>
    <mergeCell ref="F12:M12"/>
    <mergeCell ref="A8:G8"/>
    <mergeCell ref="H8:N8"/>
    <mergeCell ref="L4:N4"/>
    <mergeCell ref="A9:N9"/>
    <mergeCell ref="A10:N10"/>
    <mergeCell ref="D6:I6"/>
    <mergeCell ref="A6:C6"/>
    <mergeCell ref="C12:E12"/>
    <mergeCell ref="C14:E14"/>
    <mergeCell ref="K35:L35"/>
    <mergeCell ref="D44:M44"/>
    <mergeCell ref="D43:M43"/>
    <mergeCell ref="K41:L41"/>
    <mergeCell ref="B50:D50"/>
    <mergeCell ref="C24:D24"/>
    <mergeCell ref="C35:D35"/>
    <mergeCell ref="F35:J35"/>
    <mergeCell ref="J50:K50"/>
    <mergeCell ref="C30:E30"/>
    <mergeCell ref="B48:C48"/>
    <mergeCell ref="B43:C43"/>
    <mergeCell ref="B41:D41"/>
    <mergeCell ref="H30:J30"/>
    <mergeCell ref="K30:M30"/>
    <mergeCell ref="K31:M31"/>
    <mergeCell ref="E41:F41"/>
    <mergeCell ref="B39:D39"/>
    <mergeCell ref="H41:J41"/>
    <mergeCell ref="F30:G30"/>
    <mergeCell ref="F31:G31"/>
    <mergeCell ref="C31:E31"/>
    <mergeCell ref="K32:M32"/>
    <mergeCell ref="K24:L24"/>
    <mergeCell ref="C19:D19"/>
    <mergeCell ref="B17:D17"/>
    <mergeCell ref="A12:B12"/>
    <mergeCell ref="A14:B14"/>
    <mergeCell ref="E50:I50"/>
    <mergeCell ref="B28:I28"/>
    <mergeCell ref="F24:J24"/>
    <mergeCell ref="E19:F19"/>
    <mergeCell ref="G19:I19"/>
    <mergeCell ref="J19:M19"/>
    <mergeCell ref="J20:M20"/>
    <mergeCell ref="J22:M22"/>
    <mergeCell ref="E20:F20"/>
    <mergeCell ref="E22:F22"/>
    <mergeCell ref="C22:D22"/>
    <mergeCell ref="C20:D20"/>
    <mergeCell ref="C33:E33"/>
    <mergeCell ref="F33:G33"/>
    <mergeCell ref="K33:M33"/>
    <mergeCell ref="C21:D21"/>
    <mergeCell ref="E21:F21"/>
    <mergeCell ref="J21:M21"/>
    <mergeCell ref="C32:E32"/>
    <mergeCell ref="F32:G32"/>
  </mergeCells>
  <conditionalFormatting sqref="C12 C14">
    <cfRule type="expression" dxfId="24" priority="1">
      <formula>валюта_расчёта="USD"</formula>
    </cfRule>
    <cfRule type="expression" dxfId="23" priority="2">
      <formula>валюта_расчёта="EUR"</formula>
    </cfRule>
    <cfRule type="expression" dxfId="22" priority="3">
      <formula>валюта_расчёта="RUR"</formula>
    </cfRule>
  </conditionalFormatting>
  <dataValidations count="12">
    <dataValidation type="list" allowBlank="1" showInputMessage="1" showErrorMessage="1" sqref="I73:L73">
      <formula1>менеджеры</formula1>
    </dataValidation>
    <dataValidation type="list" allowBlank="1" showInputMessage="1" showErrorMessage="1" sqref="L50">
      <formula1>"44 ФЗ,223 ФЗ,ГК РФ"</formula1>
    </dataValidation>
    <dataValidation type="list" allowBlank="1" showInputMessage="1" showErrorMessage="1" sqref="E48 G63 I63:K63">
      <formula1>"да,нет"</formula1>
    </dataValidation>
    <dataValidation type="list" allowBlank="1" showInputMessage="1" showErrorMessage="1" sqref="E65">
      <formula1>"банковская гарантия,собственные средства"</formula1>
    </dataValidation>
    <dataValidation type="list" allowBlank="1" showInputMessage="1" showErrorMessage="1" sqref="E52:F52">
      <formula1>способы_проведения_тендеров</formula1>
    </dataValidation>
    <dataValidation type="list" allowBlank="1" showInputMessage="1" showErrorMessage="1" sqref="H20:H22 I31:I33">
      <formula1>"раб.,кал."</formula1>
    </dataValidation>
    <dataValidation type="list" allowBlank="1" showInputMessage="1" showErrorMessage="1" sqref="I20:I22 J31:J33">
      <formula1>"дн.,нед.,мес."</formula1>
    </dataValidation>
    <dataValidation type="list" allowBlank="1" showInputMessage="1" showErrorMessage="1" sqref="E1:J1">
      <formula1>"сделки,договора,приложения к договору"</formula1>
    </dataValidation>
    <dataValidation operator="greaterThanOrEqual" allowBlank="1" showInputMessage="1" showErrorMessage="1" sqref="E41:F41"/>
    <dataValidation type="list" allowBlank="1" showInputMessage="1" showErrorMessage="1" sqref="C20:C22">
      <formula1>"аванс,постоплата"</formula1>
    </dataValidation>
    <dataValidation type="whole" operator="greaterThanOrEqual" allowBlank="1" showInputMessage="1" showErrorMessage="1" sqref="G20:G22 H31:H33">
      <formula1>0</formula1>
    </dataValidation>
    <dataValidation type="decimal" allowBlank="1" showInputMessage="1" showErrorMessage="1" sqref="E20:F22 F31:G33">
      <formula1>0</formula1>
      <formula2>100</formula2>
    </dataValidation>
  </dataValidations>
  <pageMargins left="0.7" right="0.7" top="0.75" bottom="0.75" header="0.3" footer="0.3"/>
  <pageSetup paperSize="9" orientation="portrait" horizontalDpi="4294967295" verticalDpi="4294967295" r:id="rId1"/>
  <rowBreaks count="1" manualBreakCount="1">
    <brk id="45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outlinePr summaryRight="0"/>
  </sheetPr>
  <dimension ref="A1:AB51"/>
  <sheetViews>
    <sheetView tabSelected="1" topLeftCell="A4" zoomScaleNormal="100" workbookViewId="0">
      <selection activeCell="C18" sqref="C18"/>
    </sheetView>
  </sheetViews>
  <sheetFormatPr defaultColWidth="9.140625" defaultRowHeight="13.5" outlineLevelCol="2" x14ac:dyDescent="0.25"/>
  <cols>
    <col min="1" max="1" width="8.140625" style="86" customWidth="1"/>
    <col min="2" max="2" width="18.42578125" style="86" bestFit="1" customWidth="1"/>
    <col min="3" max="3" width="24.5703125" style="86" customWidth="1"/>
    <col min="4" max="4" width="49.28515625" style="86" customWidth="1"/>
    <col min="5" max="5" width="9.5703125" style="86" customWidth="1"/>
    <col min="6" max="6" width="12.42578125" style="86" customWidth="1"/>
    <col min="7" max="8" width="17.42578125" style="86" customWidth="1"/>
    <col min="9" max="9" width="10.7109375" style="86" bestFit="1" customWidth="1"/>
    <col min="10" max="11" width="17.42578125" style="86" customWidth="1"/>
    <col min="12" max="12" width="11.140625" style="86" customWidth="1"/>
    <col min="13" max="13" width="13.7109375" style="160" customWidth="1" outlineLevel="1"/>
    <col min="14" max="14" width="14.42578125" style="86" customWidth="1" outlineLevel="1"/>
    <col min="15" max="15" width="42.140625" style="86" customWidth="1" outlineLevel="1" collapsed="1"/>
    <col min="16" max="16" width="13.140625" style="86" hidden="1" customWidth="1" outlineLevel="2"/>
    <col min="17" max="17" width="12.5703125" style="86" hidden="1" customWidth="1" outlineLevel="2"/>
    <col min="18" max="18" width="13.140625" style="86" hidden="1" customWidth="1" outlineLevel="2"/>
    <col min="19" max="19" width="11.42578125" style="86" hidden="1" customWidth="1" outlineLevel="2"/>
    <col min="20" max="20" width="9" style="161" customWidth="1"/>
    <col min="21" max="21" width="17.42578125" style="86" customWidth="1"/>
    <col min="22" max="22" width="9" style="86" customWidth="1"/>
    <col min="23" max="23" width="17.42578125" style="86" customWidth="1"/>
    <col min="24" max="24" width="11" style="86" customWidth="1"/>
    <col min="25" max="26" width="17.42578125" style="86" customWidth="1"/>
    <col min="27" max="27" width="23.140625" style="86" hidden="1" customWidth="1"/>
    <col min="28" max="28" width="10.5703125" style="86" hidden="1" customWidth="1"/>
    <col min="29" max="16384" width="9.140625" style="86"/>
  </cols>
  <sheetData>
    <row r="1" spans="1:28" s="88" customFormat="1" ht="16.5" x14ac:dyDescent="0.3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  <c r="N1" s="87"/>
      <c r="O1" s="86"/>
      <c r="T1" s="89"/>
      <c r="W1" s="90"/>
      <c r="X1" s="87"/>
    </row>
    <row r="2" spans="1:28" s="88" customFormat="1" x14ac:dyDescent="0.25">
      <c r="A2" s="296" t="s">
        <v>11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91"/>
      <c r="M2" s="92"/>
      <c r="N2" s="92"/>
      <c r="O2" s="86"/>
      <c r="T2" s="89"/>
      <c r="X2" s="92"/>
    </row>
    <row r="3" spans="1:28" s="88" customFormat="1" x14ac:dyDescent="0.25">
      <c r="D3" s="91"/>
      <c r="E3" s="91"/>
      <c r="O3" s="86"/>
      <c r="T3" s="89"/>
      <c r="X3" s="92"/>
    </row>
    <row r="4" spans="1:28" s="88" customFormat="1" ht="14.45" customHeight="1" x14ac:dyDescent="0.25">
      <c r="A4" s="307" t="s">
        <v>78</v>
      </c>
      <c r="B4" s="307"/>
      <c r="C4" s="93"/>
      <c r="D4" s="94" t="s">
        <v>68</v>
      </c>
      <c r="E4" s="95" t="s">
        <v>21</v>
      </c>
      <c r="G4" s="297" t="s">
        <v>19</v>
      </c>
      <c r="H4" s="297"/>
      <c r="O4" s="86"/>
      <c r="T4" s="89"/>
      <c r="X4" s="96"/>
    </row>
    <row r="5" spans="1:28" s="88" customFormat="1" ht="14.45" customHeight="1" x14ac:dyDescent="0.25">
      <c r="A5" s="307" t="s">
        <v>144</v>
      </c>
      <c r="B5" s="307"/>
      <c r="C5" s="103"/>
      <c r="D5" s="98" t="s">
        <v>69</v>
      </c>
      <c r="E5" s="95" t="s">
        <v>31</v>
      </c>
      <c r="G5" s="99" t="s">
        <v>0</v>
      </c>
      <c r="H5" s="100">
        <v>60</v>
      </c>
      <c r="O5" s="101"/>
      <c r="P5" s="102"/>
      <c r="Q5" s="102"/>
      <c r="R5" s="102"/>
      <c r="S5" s="102"/>
      <c r="T5" s="89"/>
      <c r="U5" s="102"/>
      <c r="V5" s="102"/>
      <c r="X5" s="96"/>
      <c r="Y5" s="102"/>
      <c r="Z5" s="102"/>
    </row>
    <row r="6" spans="1:28" s="88" customFormat="1" ht="14.45" customHeight="1" x14ac:dyDescent="0.3">
      <c r="A6" s="307" t="s">
        <v>80</v>
      </c>
      <c r="B6" s="307"/>
      <c r="C6" s="230"/>
      <c r="D6" s="98" t="s">
        <v>136</v>
      </c>
      <c r="E6" s="95" t="s">
        <v>70</v>
      </c>
      <c r="G6" s="99" t="s">
        <v>1</v>
      </c>
      <c r="H6" s="100">
        <v>72</v>
      </c>
      <c r="O6" s="86"/>
      <c r="T6" s="89"/>
      <c r="W6" s="90"/>
      <c r="X6" s="96"/>
    </row>
    <row r="7" spans="1:28" s="88" customFormat="1" ht="14.45" customHeight="1" x14ac:dyDescent="0.3">
      <c r="A7" s="307" t="s">
        <v>143</v>
      </c>
      <c r="B7" s="307"/>
      <c r="C7" s="97"/>
      <c r="D7" s="231"/>
      <c r="E7" s="232"/>
      <c r="F7" s="233"/>
      <c r="G7" s="234"/>
      <c r="H7" s="235"/>
      <c r="O7" s="86"/>
      <c r="T7" s="89"/>
      <c r="W7" s="90"/>
      <c r="X7" s="96"/>
    </row>
    <row r="8" spans="1:28" s="88" customFormat="1" ht="14.45" customHeight="1" x14ac:dyDescent="0.35">
      <c r="A8" s="229"/>
      <c r="B8" s="229"/>
      <c r="C8" s="89"/>
      <c r="D8" s="104" t="s">
        <v>139</v>
      </c>
      <c r="E8" s="105"/>
      <c r="N8" s="106"/>
      <c r="O8" s="86"/>
      <c r="T8" s="89"/>
      <c r="W8" s="90"/>
      <c r="X8" s="107"/>
    </row>
    <row r="9" spans="1:28" s="88" customFormat="1" ht="14.45" customHeight="1" x14ac:dyDescent="0.3">
      <c r="A9" s="307" t="s">
        <v>145</v>
      </c>
      <c r="B9" s="307"/>
      <c r="C9" s="227"/>
      <c r="D9" s="108" t="s">
        <v>140</v>
      </c>
      <c r="E9" s="109"/>
      <c r="G9" s="306" t="s">
        <v>296</v>
      </c>
      <c r="H9" s="306"/>
      <c r="T9" s="89"/>
      <c r="W9" s="90"/>
      <c r="X9" s="107"/>
    </row>
    <row r="10" spans="1:28" s="88" customFormat="1" ht="14.45" customHeight="1" x14ac:dyDescent="0.3">
      <c r="A10" s="307" t="s">
        <v>146</v>
      </c>
      <c r="B10" s="307"/>
      <c r="C10" s="227"/>
      <c r="D10" s="108" t="s">
        <v>141</v>
      </c>
      <c r="E10" s="110"/>
      <c r="G10" s="111" t="s">
        <v>0</v>
      </c>
      <c r="H10" s="112">
        <v>58.155700000000003</v>
      </c>
      <c r="T10" s="89"/>
      <c r="W10" s="90"/>
      <c r="X10" s="107"/>
    </row>
    <row r="11" spans="1:28" s="88" customFormat="1" ht="14.45" customHeight="1" x14ac:dyDescent="0.3">
      <c r="A11" s="307" t="s">
        <v>266</v>
      </c>
      <c r="B11" s="307"/>
      <c r="C11" s="228"/>
      <c r="D11" s="108" t="s">
        <v>142</v>
      </c>
      <c r="E11" s="113"/>
      <c r="G11" s="111" t="s">
        <v>1</v>
      </c>
      <c r="H11" s="112">
        <v>67.710700000000003</v>
      </c>
      <c r="T11" s="89"/>
      <c r="W11" s="90"/>
      <c r="X11" s="107"/>
    </row>
    <row r="12" spans="1:28" s="88" customFormat="1" ht="16.5" x14ac:dyDescent="0.3">
      <c r="N12" s="106"/>
      <c r="O12" s="86"/>
      <c r="T12" s="89"/>
      <c r="W12" s="90"/>
      <c r="X12" s="107"/>
    </row>
    <row r="13" spans="1:28" s="114" customFormat="1" ht="12.75" customHeight="1" thickBot="1" x14ac:dyDescent="0.25">
      <c r="A13" s="298" t="s">
        <v>2</v>
      </c>
      <c r="B13" s="298" t="s">
        <v>3</v>
      </c>
      <c r="C13" s="299" t="s">
        <v>4</v>
      </c>
      <c r="D13" s="299" t="s">
        <v>5</v>
      </c>
      <c r="E13" s="298" t="s">
        <v>6</v>
      </c>
      <c r="F13" s="300" t="s">
        <v>177</v>
      </c>
      <c r="G13" s="302" t="str">
        <f>"Розничная цена "&amp;IF(включить_НДС&lt;&gt;INDEX(НДС,3),включить_НДС,"("&amp;включить_НДС&amp;")")&amp;"
интернет / GPL в "&amp;валюта_расчёта</f>
        <v>Розничная цена без НДС
интернет / GPL в USD</v>
      </c>
      <c r="H13" s="302"/>
      <c r="I13" s="304" t="s">
        <v>7</v>
      </c>
      <c r="J13" s="308" t="str">
        <f>"Вход "&amp;IF(включить_НДС&lt;&gt;INDEX(НДС,3),включить_НДС,"("&amp;включить_НДС&amp;")")&amp;", "&amp;валюта_расчёта</f>
        <v>Вход без НДС, USD</v>
      </c>
      <c r="K13" s="309"/>
      <c r="L13" s="310"/>
      <c r="M13" s="315" t="s">
        <v>138</v>
      </c>
      <c r="N13" s="298" t="s">
        <v>8</v>
      </c>
      <c r="O13" s="298" t="s">
        <v>9</v>
      </c>
      <c r="P13" s="314" t="s">
        <v>15</v>
      </c>
      <c r="Q13" s="314"/>
      <c r="R13" s="314" t="s">
        <v>211</v>
      </c>
      <c r="S13" s="314"/>
      <c r="T13" s="329" t="s">
        <v>22</v>
      </c>
      <c r="U13" s="329"/>
      <c r="V13" s="329"/>
      <c r="W13" s="329"/>
      <c r="X13" s="329"/>
      <c r="Y13" s="320" t="s">
        <v>23</v>
      </c>
      <c r="Z13" s="320"/>
      <c r="AA13" s="318" t="s">
        <v>217</v>
      </c>
      <c r="AB13" s="318"/>
    </row>
    <row r="14" spans="1:28" s="115" customFormat="1" ht="26.45" customHeight="1" thickBot="1" x14ac:dyDescent="0.25">
      <c r="A14" s="298"/>
      <c r="B14" s="298"/>
      <c r="C14" s="299"/>
      <c r="D14" s="299"/>
      <c r="E14" s="298"/>
      <c r="F14" s="300"/>
      <c r="G14" s="303"/>
      <c r="H14" s="303"/>
      <c r="I14" s="304"/>
      <c r="J14" s="311"/>
      <c r="K14" s="312"/>
      <c r="L14" s="313"/>
      <c r="M14" s="315"/>
      <c r="N14" s="298"/>
      <c r="O14" s="298"/>
      <c r="P14" s="314"/>
      <c r="Q14" s="314"/>
      <c r="R14" s="314"/>
      <c r="S14" s="317"/>
      <c r="T14" s="321" t="s">
        <v>24</v>
      </c>
      <c r="U14" s="323" t="s">
        <v>25</v>
      </c>
      <c r="V14" s="321" t="s">
        <v>26</v>
      </c>
      <c r="W14" s="325" t="s">
        <v>27</v>
      </c>
      <c r="X14" s="327" t="s">
        <v>147</v>
      </c>
      <c r="Y14" s="326" t="s">
        <v>25</v>
      </c>
      <c r="Z14" s="320" t="s">
        <v>27</v>
      </c>
      <c r="AA14" s="318" t="s">
        <v>216</v>
      </c>
      <c r="AB14" s="319" t="s">
        <v>147</v>
      </c>
    </row>
    <row r="15" spans="1:28" s="115" customFormat="1" ht="12.75" x14ac:dyDescent="0.2">
      <c r="A15" s="298"/>
      <c r="B15" s="298"/>
      <c r="C15" s="299"/>
      <c r="D15" s="299"/>
      <c r="E15" s="298"/>
      <c r="F15" s="301"/>
      <c r="G15" s="116" t="s">
        <v>28</v>
      </c>
      <c r="H15" s="117" t="s">
        <v>23</v>
      </c>
      <c r="I15" s="305"/>
      <c r="J15" s="116" t="s">
        <v>28</v>
      </c>
      <c r="K15" s="118" t="s">
        <v>23</v>
      </c>
      <c r="L15" s="117" t="s">
        <v>34</v>
      </c>
      <c r="M15" s="316"/>
      <c r="N15" s="298"/>
      <c r="O15" s="298"/>
      <c r="P15" s="119" t="s">
        <v>16</v>
      </c>
      <c r="Q15" s="119" t="s">
        <v>17</v>
      </c>
      <c r="R15" s="119" t="s">
        <v>16</v>
      </c>
      <c r="S15" s="120" t="s">
        <v>17</v>
      </c>
      <c r="T15" s="322"/>
      <c r="U15" s="324"/>
      <c r="V15" s="322"/>
      <c r="W15" s="318"/>
      <c r="X15" s="328"/>
      <c r="Y15" s="326"/>
      <c r="Z15" s="320"/>
      <c r="AA15" s="318"/>
      <c r="AB15" s="319"/>
    </row>
    <row r="16" spans="1:28" s="126" customFormat="1" ht="10.9" customHeight="1" x14ac:dyDescent="0.25">
      <c r="A16" s="121" t="s">
        <v>45</v>
      </c>
      <c r="B16" s="121" t="s">
        <v>44</v>
      </c>
      <c r="C16" s="121" t="s">
        <v>43</v>
      </c>
      <c r="D16" s="121" t="s">
        <v>53</v>
      </c>
      <c r="E16" s="121" t="s">
        <v>46</v>
      </c>
      <c r="F16" s="122" t="s">
        <v>47</v>
      </c>
      <c r="G16" s="165" t="s">
        <v>48</v>
      </c>
      <c r="H16" s="166" t="s">
        <v>49</v>
      </c>
      <c r="I16" s="123" t="s">
        <v>50</v>
      </c>
      <c r="J16" s="165" t="s">
        <v>51</v>
      </c>
      <c r="K16" s="124" t="s">
        <v>52</v>
      </c>
      <c r="L16" s="166" t="s">
        <v>207</v>
      </c>
      <c r="M16" s="125" t="s">
        <v>193</v>
      </c>
      <c r="N16" s="121" t="s">
        <v>194</v>
      </c>
      <c r="O16" s="121" t="s">
        <v>195</v>
      </c>
      <c r="P16" s="121" t="s">
        <v>196</v>
      </c>
      <c r="Q16" s="121" t="s">
        <v>197</v>
      </c>
      <c r="R16" s="121" t="s">
        <v>198</v>
      </c>
      <c r="S16" s="122" t="s">
        <v>199</v>
      </c>
      <c r="T16" s="165" t="s">
        <v>200</v>
      </c>
      <c r="U16" s="169" t="s">
        <v>201</v>
      </c>
      <c r="V16" s="165" t="s">
        <v>202</v>
      </c>
      <c r="W16" s="124" t="s">
        <v>203</v>
      </c>
      <c r="X16" s="166" t="s">
        <v>204</v>
      </c>
      <c r="Y16" s="167" t="s">
        <v>205</v>
      </c>
      <c r="Z16" s="121" t="s">
        <v>206</v>
      </c>
      <c r="AA16" s="197" t="s">
        <v>215</v>
      </c>
      <c r="AB16" s="197" t="s">
        <v>219</v>
      </c>
    </row>
    <row r="17" spans="1:28" ht="27" x14ac:dyDescent="0.25">
      <c r="A17" s="194"/>
      <c r="B17" s="127"/>
      <c r="C17" s="135"/>
      <c r="D17" s="136" t="s">
        <v>227</v>
      </c>
      <c r="E17" s="137"/>
      <c r="F17" s="128"/>
      <c r="G17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7" s="189">
        <f>Расчёт[[#This Row],[5
Кол-во]]*Расчёт[[#This Row],[7
Цена GPL]]</f>
        <v>0</v>
      </c>
      <c r="I17" s="138" t="str">
        <f>IFERROR((Расчёт[[#This Row],[7
Цена GPL]]-Расчёт[[#This Row],[10
Цена Вход]])/Расчёт[[#This Row],[7
Цена GPL]],"")</f>
        <v/>
      </c>
      <c r="J17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17" s="218">
        <f>IF(OR(Расчёт[[#This Row],[27
тип индекса]]="subtitle",Расчёт[[#This Row],[1
№]]=""),0,Расчёт[[#This Row],[5
Кол-во]]*Расчёт[[#This Row],[10
Цена Вход]])</f>
        <v>0</v>
      </c>
      <c r="L17" s="217" t="s">
        <v>31</v>
      </c>
      <c r="M17" s="139"/>
      <c r="N17" s="129"/>
      <c r="O17" s="130"/>
      <c r="P17" s="131"/>
      <c r="Q17" s="132">
        <f>Расчёт[[#This Row],[5
Кол-во]]*Расчёт[[#This Row],[16
Вес]]</f>
        <v>0</v>
      </c>
      <c r="R17" s="131"/>
      <c r="S17" s="133">
        <f>Расчёт[[#This Row],[5
Кол-во]]*Расчёт[[#This Row],[18
Объём]]</f>
        <v>0</v>
      </c>
      <c r="T17" s="192"/>
      <c r="U17" s="190">
        <v>0</v>
      </c>
      <c r="V17" s="187" t="s">
        <v>20</v>
      </c>
      <c r="W17" s="164">
        <v>100</v>
      </c>
      <c r="X17" s="188" t="s">
        <v>30</v>
      </c>
      <c r="Y17" s="141">
        <f>Расчёт[[#This Row],[5
Кол-во]]*Расчёт[[#This Row],[21
Цена GPL]]</f>
        <v>0</v>
      </c>
      <c r="Z17" s="134">
        <f>Расчёт[[#This Row],[5
Кол-во]]*Расчёт[[#This Row],[23
Цена Вход]]</f>
        <v>0</v>
      </c>
      <c r="AA17" s="196"/>
      <c r="AB17" s="196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18" spans="1:28" ht="51" x14ac:dyDescent="0.25">
      <c r="A18" s="194" t="s">
        <v>213</v>
      </c>
      <c r="B18" s="127"/>
      <c r="C18" s="135"/>
      <c r="D18" s="136" t="s">
        <v>262</v>
      </c>
      <c r="E18" s="137"/>
      <c r="F18" s="128"/>
      <c r="G18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8" s="189">
        <f>Расчёт[[#This Row],[5
Кол-во]]*Расчёт[[#This Row],[7
Цена GPL]]</f>
        <v>0</v>
      </c>
      <c r="I18" s="138" t="str">
        <f>IFERROR((Расчёт[[#This Row],[7
Цена GPL]]-Расчёт[[#This Row],[10
Цена Вход]])/Расчёт[[#This Row],[7
Цена GPL]],"")</f>
        <v/>
      </c>
      <c r="J18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18" s="218">
        <f>IF(OR(Расчёт[[#This Row],[27
тип индекса]]="subtitle",Расчёт[[#This Row],[1
№]]=""),0,Расчёт[[#This Row],[5
Кол-во]]*Расчёт[[#This Row],[10
Цена Вход]])</f>
        <v>0</v>
      </c>
      <c r="L18" s="217" t="s">
        <v>31</v>
      </c>
      <c r="M18" s="139"/>
      <c r="N18" s="129"/>
      <c r="O18" s="130"/>
      <c r="P18" s="131"/>
      <c r="Q18" s="132">
        <f>Расчёт[[#This Row],[5
Кол-во]]*Расчёт[[#This Row],[16
Вес]]</f>
        <v>0</v>
      </c>
      <c r="R18" s="131"/>
      <c r="S18" s="133">
        <f>Расчёт[[#This Row],[5
Кол-во]]*Расчёт[[#This Row],[18
Объём]]</f>
        <v>0</v>
      </c>
      <c r="T18" s="192"/>
      <c r="U18" s="190">
        <v>0</v>
      </c>
      <c r="V18" s="187" t="s">
        <v>20</v>
      </c>
      <c r="W18" s="164">
        <v>100</v>
      </c>
      <c r="X18" s="188" t="s">
        <v>30</v>
      </c>
      <c r="Y18" s="141">
        <f>Расчёт[[#This Row],[5
Кол-во]]*Расчёт[[#This Row],[21
Цена GPL]]</f>
        <v>0</v>
      </c>
      <c r="Z18" s="134">
        <f>Расчёт[[#This Row],[5
Кол-во]]*Расчёт[[#This Row],[23
Цена Вход]]</f>
        <v>0</v>
      </c>
      <c r="AA18" s="196" t="s">
        <v>218</v>
      </c>
      <c r="AB18" s="196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19" spans="1:28" ht="25.5" x14ac:dyDescent="0.25">
      <c r="A19" s="194" t="s">
        <v>228</v>
      </c>
      <c r="B19" s="127"/>
      <c r="C19" s="135"/>
      <c r="D19" s="136" t="s">
        <v>229</v>
      </c>
      <c r="E19" s="137"/>
      <c r="F19" s="128"/>
      <c r="G19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9" s="189">
        <f>Расчёт[[#This Row],[5
Кол-во]]*Расчёт[[#This Row],[7
Цена GPL]]</f>
        <v>0</v>
      </c>
      <c r="I19" s="138" t="str">
        <f>IFERROR((Расчёт[[#This Row],[7
Цена GPL]]-Расчёт[[#This Row],[10
Цена Вход]])/Расчёт[[#This Row],[7
Цена GPL]],"")</f>
        <v/>
      </c>
      <c r="J19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19" s="218">
        <f>IF(OR(Расчёт[[#This Row],[27
тип индекса]]="subtitle",Расчёт[[#This Row],[1
№]]=""),0,Расчёт[[#This Row],[5
Кол-во]]*Расчёт[[#This Row],[10
Цена Вход]])</f>
        <v>0</v>
      </c>
      <c r="L19" s="217" t="s">
        <v>31</v>
      </c>
      <c r="M19" s="139"/>
      <c r="N19" s="129"/>
      <c r="O19" s="130"/>
      <c r="P19" s="131"/>
      <c r="Q19" s="132">
        <f>Расчёт[[#This Row],[5
Кол-во]]*Расчёт[[#This Row],[16
Вес]]</f>
        <v>0</v>
      </c>
      <c r="R19" s="131"/>
      <c r="S19" s="133">
        <f>Расчёт[[#This Row],[5
Кол-во]]*Расчёт[[#This Row],[18
Объём]]</f>
        <v>0</v>
      </c>
      <c r="T19" s="192"/>
      <c r="U19" s="190">
        <v>0</v>
      </c>
      <c r="V19" s="187" t="s">
        <v>20</v>
      </c>
      <c r="W19" s="164">
        <v>100</v>
      </c>
      <c r="X19" s="188" t="s">
        <v>30</v>
      </c>
      <c r="Y19" s="141">
        <f>Расчёт[[#This Row],[5
Кол-во]]*Расчёт[[#This Row],[21
Цена GPL]]</f>
        <v>0</v>
      </c>
      <c r="Z19" s="134">
        <f>Расчёт[[#This Row],[5
Кол-во]]*Расчёт[[#This Row],[23
Цена Вход]]</f>
        <v>0</v>
      </c>
      <c r="AA19" s="196" t="s">
        <v>218</v>
      </c>
      <c r="AB19" s="196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20" spans="1:28" ht="76.5" x14ac:dyDescent="0.25">
      <c r="A20" s="194" t="s">
        <v>230</v>
      </c>
      <c r="B20" s="127"/>
      <c r="C20" s="135"/>
      <c r="D20" s="236" t="s">
        <v>267</v>
      </c>
      <c r="E20" s="137">
        <v>1</v>
      </c>
      <c r="F20" s="128"/>
      <c r="G20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0" s="189">
        <f>Расчёт[[#This Row],[5
Кол-во]]*Расчёт[[#This Row],[7
Цена GPL]]</f>
        <v>0</v>
      </c>
      <c r="I20" s="138" t="str">
        <f>IFERROR((Расчёт[[#This Row],[7
Цена GPL]]-Расчёт[[#This Row],[10
Цена Вход]])/Расчёт[[#This Row],[7
Цена GPL]],"")</f>
        <v/>
      </c>
      <c r="J20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0" s="218">
        <f>IF(OR(Расчёт[[#This Row],[27
тип индекса]]="subtitle",Расчёт[[#This Row],[1
№]]=""),0,Расчёт[[#This Row],[5
Кол-во]]*Расчёт[[#This Row],[10
Цена Вход]])</f>
        <v>0</v>
      </c>
      <c r="L20" s="217" t="s">
        <v>31</v>
      </c>
      <c r="M20" s="139"/>
      <c r="N20" s="129"/>
      <c r="O20" s="130"/>
      <c r="P20" s="131"/>
      <c r="Q20" s="132">
        <f>Расчёт[[#This Row],[5
Кол-во]]*Расчёт[[#This Row],[16
Вес]]</f>
        <v>0</v>
      </c>
      <c r="R20" s="131"/>
      <c r="S20" s="133">
        <f>Расчёт[[#This Row],[5
Кол-во]]*Расчёт[[#This Row],[18
Объём]]</f>
        <v>0</v>
      </c>
      <c r="T20" s="192"/>
      <c r="U20" s="190">
        <v>0</v>
      </c>
      <c r="V20" s="187" t="s">
        <v>20</v>
      </c>
      <c r="W20" s="223">
        <v>100</v>
      </c>
      <c r="X20" s="188" t="s">
        <v>30</v>
      </c>
      <c r="Y20" s="141">
        <f>Расчёт[[#This Row],[5
Кол-во]]*Расчёт[[#This Row],[21
Цена GPL]]</f>
        <v>0</v>
      </c>
      <c r="Z20" s="134">
        <f>Расчёт[[#This Row],[5
Кол-во]]*Расчёт[[#This Row],[23
Цена Вход]]</f>
        <v>100</v>
      </c>
      <c r="AA20" s="196" t="s">
        <v>218</v>
      </c>
      <c r="AB20" s="196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21" spans="1:28" x14ac:dyDescent="0.25">
      <c r="A21" s="194" t="s">
        <v>214</v>
      </c>
      <c r="B21" s="127" t="s">
        <v>231</v>
      </c>
      <c r="C21" s="135"/>
      <c r="D21" s="136" t="s">
        <v>232</v>
      </c>
      <c r="E21" s="137">
        <v>2</v>
      </c>
      <c r="F21" s="128"/>
      <c r="G21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1" s="189">
        <f>Расчёт[[#This Row],[5
Кол-во]]*Расчёт[[#This Row],[7
Цена GPL]]</f>
        <v>0</v>
      </c>
      <c r="I21" s="138" t="str">
        <f>IFERROR((Расчёт[[#This Row],[7
Цена GPL]]-Расчёт[[#This Row],[10
Цена Вход]])/Расчёт[[#This Row],[7
Цена GPL]],"")</f>
        <v/>
      </c>
      <c r="J21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1" s="218">
        <f>IF(OR(Расчёт[[#This Row],[27
тип индекса]]="subtitle",Расчёт[[#This Row],[1
№]]=""),0,Расчёт[[#This Row],[5
Кол-во]]*Расчёт[[#This Row],[10
Цена Вход]])</f>
        <v>2.8248587570621471</v>
      </c>
      <c r="L21" s="217" t="s">
        <v>31</v>
      </c>
      <c r="M21" s="139"/>
      <c r="N21" s="129"/>
      <c r="O21" s="130"/>
      <c r="P21" s="131"/>
      <c r="Q21" s="132">
        <f>Расчёт[[#This Row],[5
Кол-во]]*Расчёт[[#This Row],[16
Вес]]</f>
        <v>0</v>
      </c>
      <c r="R21" s="131"/>
      <c r="S21" s="133">
        <f>Расчёт[[#This Row],[5
Кол-во]]*Расчёт[[#This Row],[18
Объём]]</f>
        <v>0</v>
      </c>
      <c r="T21" s="192"/>
      <c r="U21" s="190">
        <v>0</v>
      </c>
      <c r="V21" s="187" t="s">
        <v>20</v>
      </c>
      <c r="W21" s="164">
        <v>100</v>
      </c>
      <c r="X21" s="188" t="s">
        <v>30</v>
      </c>
      <c r="Y21" s="141">
        <f>Расчёт[[#This Row],[5
Кол-во]]*Расчёт[[#This Row],[21
Цена GPL]]</f>
        <v>0</v>
      </c>
      <c r="Z21" s="134">
        <f>Расчёт[[#This Row],[5
Кол-во]]*Расчёт[[#This Row],[23
Цена Вход]]</f>
        <v>200</v>
      </c>
      <c r="AA21" s="196"/>
      <c r="AB21" s="196">
        <f>ROUND(Расчёт[[#This Row],[11
Сумма Вход]]*IF(Расчёт[[#This Row],[12
НДС вход]]=INDEX(НДС,1),1/1.18*0.18,IF(Расчёт[[#This Row],[12
НДС вход]]=INDEX(НДС,2),0.18,0)),2)</f>
        <v>0.51</v>
      </c>
    </row>
    <row r="22" spans="1:28" ht="40.5" x14ac:dyDescent="0.25">
      <c r="A22" s="194" t="s">
        <v>233</v>
      </c>
      <c r="B22" s="127" t="s">
        <v>231</v>
      </c>
      <c r="C22" s="135"/>
      <c r="D22" s="136" t="s">
        <v>234</v>
      </c>
      <c r="E22" s="137">
        <v>5</v>
      </c>
      <c r="F22" s="128"/>
      <c r="G22" s="191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2" s="189">
        <f>Расчёт[[#This Row],[5
Кол-во]]*Расчёт[[#This Row],[7
Цена GPL]]</f>
        <v>0</v>
      </c>
      <c r="I22" s="138" t="str">
        <f>IFERROR((Расчёт[[#This Row],[7
Цена GPL]]-Расчёт[[#This Row],[10
Цена Вход]])/Расчёт[[#This Row],[7
Цена GPL]],"")</f>
        <v/>
      </c>
      <c r="J22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1.6666666666666667</v>
      </c>
      <c r="K22" s="218">
        <f>IF(OR(Расчёт[[#This Row],[27
тип индекса]]="subtitle",Расчёт[[#This Row],[1
№]]=""),0,Расчёт[[#This Row],[5
Кол-во]]*Расчёт[[#This Row],[10
Цена Вход]])</f>
        <v>8.3333333333333339</v>
      </c>
      <c r="L22" s="217" t="s">
        <v>31</v>
      </c>
      <c r="M22" s="139"/>
      <c r="N22" s="129"/>
      <c r="O22" s="130"/>
      <c r="P22" s="131"/>
      <c r="Q22" s="132">
        <f>Расчёт[[#This Row],[5
Кол-во]]*Расчёт[[#This Row],[16
Вес]]</f>
        <v>0</v>
      </c>
      <c r="R22" s="131"/>
      <c r="S22" s="133">
        <f>Расчёт[[#This Row],[5
Кол-во]]*Расчёт[[#This Row],[18
Объём]]</f>
        <v>0</v>
      </c>
      <c r="T22" s="192"/>
      <c r="U22" s="190">
        <v>0</v>
      </c>
      <c r="V22" s="187" t="s">
        <v>20</v>
      </c>
      <c r="W22" s="164">
        <v>100</v>
      </c>
      <c r="X22" s="188" t="s">
        <v>31</v>
      </c>
      <c r="Y22" s="141">
        <f>Расчёт[[#This Row],[5
Кол-во]]*Расчёт[[#This Row],[21
Цена GPL]]</f>
        <v>0</v>
      </c>
      <c r="Z22" s="134">
        <f>Расчёт[[#This Row],[5
Кол-во]]*Расчёт[[#This Row],[23
Цена Вход]]</f>
        <v>500</v>
      </c>
      <c r="AA22" s="196"/>
      <c r="AB22" s="196">
        <f>ROUND(Расчёт[[#This Row],[11
Сумма Вход]]*IF(Расчёт[[#This Row],[12
НДС вход]]=INDEX(НДС,1),1/1.18*0.18,IF(Расчёт[[#This Row],[12
НДС вход]]=INDEX(НДС,2),0.18,0)),2)</f>
        <v>1.5</v>
      </c>
    </row>
    <row r="23" spans="1:28" ht="27" x14ac:dyDescent="0.25">
      <c r="A23" s="195" t="s">
        <v>235</v>
      </c>
      <c r="B23" s="173" t="s">
        <v>236</v>
      </c>
      <c r="C23" s="174"/>
      <c r="D23" s="237" t="s">
        <v>268</v>
      </c>
      <c r="E23" s="176">
        <v>5</v>
      </c>
      <c r="F23" s="177"/>
      <c r="G23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3" s="170">
        <f>Расчёт[[#This Row],[5
Кол-во]]*Расчёт[[#This Row],[7
Цена GPL]]</f>
        <v>0</v>
      </c>
      <c r="I23" s="142" t="str">
        <f>IFERROR((Расчёт[[#This Row],[7
Цена GPL]]-Расчёт[[#This Row],[10
Цена Вход]])/Расчёт[[#This Row],[7
Цена GPL]],"")</f>
        <v/>
      </c>
      <c r="J23" s="219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1.6666666666666667</v>
      </c>
      <c r="K23" s="218">
        <f>IF(OR(Расчёт[[#This Row],[27
тип индекса]]="subtitle",Расчёт[[#This Row],[1
№]]=""),0,Расчёт[[#This Row],[5
Кол-во]]*Расчёт[[#This Row],[10
Цена Вход]])</f>
        <v>8.3333333333333339</v>
      </c>
      <c r="L23" s="217" t="s">
        <v>32</v>
      </c>
      <c r="M23" s="178"/>
      <c r="N23" s="179"/>
      <c r="O23" s="180"/>
      <c r="P23" s="181"/>
      <c r="Q23" s="182">
        <f>Расчёт[[#This Row],[5
Кол-во]]*Расчёт[[#This Row],[16
Вес]]</f>
        <v>0</v>
      </c>
      <c r="R23" s="181"/>
      <c r="S23" s="182">
        <f>Расчёт[[#This Row],[5
Кол-во]]*Расчёт[[#This Row],[18
Объём]]</f>
        <v>0</v>
      </c>
      <c r="T23" s="185"/>
      <c r="U23" s="171">
        <v>0</v>
      </c>
      <c r="V23" s="183" t="s">
        <v>20</v>
      </c>
      <c r="W23" s="186">
        <v>100</v>
      </c>
      <c r="X23" s="172" t="s">
        <v>32</v>
      </c>
      <c r="Y23" s="184">
        <f>Расчёт[[#This Row],[5
Кол-во]]*Расчёт[[#This Row],[21
Цена GPL]]</f>
        <v>0</v>
      </c>
      <c r="Z23" s="184">
        <f>Расчёт[[#This Row],[5
Кол-во]]*Расчёт[[#This Row],[23
Цена Вход]]</f>
        <v>500</v>
      </c>
      <c r="AA23" s="198"/>
      <c r="AB23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24" spans="1:28" ht="54" x14ac:dyDescent="0.25">
      <c r="A24" s="195" t="s">
        <v>237</v>
      </c>
      <c r="B24" s="173" t="s">
        <v>236</v>
      </c>
      <c r="C24" s="174"/>
      <c r="D24" s="175" t="s">
        <v>238</v>
      </c>
      <c r="E24" s="176">
        <v>5</v>
      </c>
      <c r="F24" s="177"/>
      <c r="G24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4" s="170">
        <f>Расчёт[[#This Row],[5
Кол-во]]*Расчёт[[#This Row],[7
Цена GPL]]</f>
        <v>0</v>
      </c>
      <c r="I24" s="142" t="str">
        <f>IFERROR((Расчёт[[#This Row],[7
Цена GPL]]-Расчёт[[#This Row],[10
Цена Вход]])/Расчёт[[#This Row],[7
Цена GPL]],"")</f>
        <v/>
      </c>
      <c r="J24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1.6666666666666667</v>
      </c>
      <c r="K24" s="225">
        <f>IF(OR(Расчёт[[#This Row],[27
тип индекса]]="subtitle",Расчёт[[#This Row],[1
№]]=""),0,Расчёт[[#This Row],[5
Кол-во]]*Расчёт[[#This Row],[10
Цена Вход]])</f>
        <v>8.3333333333333339</v>
      </c>
      <c r="L24" s="226" t="s">
        <v>31</v>
      </c>
      <c r="M24" s="178"/>
      <c r="N24" s="179"/>
      <c r="O24" s="180"/>
      <c r="P24" s="181"/>
      <c r="Q24" s="182">
        <f>Расчёт[[#This Row],[5
Кол-во]]*Расчёт[[#This Row],[16
Вес]]</f>
        <v>0</v>
      </c>
      <c r="R24" s="181"/>
      <c r="S24" s="182">
        <f>Расчёт[[#This Row],[5
Кол-во]]*Расчёт[[#This Row],[18
Объём]]</f>
        <v>0</v>
      </c>
      <c r="T24" s="185"/>
      <c r="U24" s="171"/>
      <c r="V24" s="183" t="s">
        <v>20</v>
      </c>
      <c r="W24" s="186">
        <v>100</v>
      </c>
      <c r="X24" s="172" t="s">
        <v>32</v>
      </c>
      <c r="Y24" s="184">
        <f>Расчёт[[#This Row],[5
Кол-во]]*Расчёт[[#This Row],[21
Цена GPL]]</f>
        <v>0</v>
      </c>
      <c r="Z24" s="184">
        <f>Расчёт[[#This Row],[5
Кол-во]]*Расчёт[[#This Row],[23
Цена Вход]]</f>
        <v>500</v>
      </c>
      <c r="AA24" s="198"/>
      <c r="AB24" s="198">
        <f>ROUND(Расчёт[[#This Row],[11
Сумма Вход]]*IF(Расчёт[[#This Row],[12
НДС вход]]=INDEX(НДС,1),1/1.18*0.18,IF(Расчёт[[#This Row],[12
НДС вход]]=INDEX(НДС,2),0.18,0)),2)</f>
        <v>1.5</v>
      </c>
    </row>
    <row r="25" spans="1:28" ht="40.5" x14ac:dyDescent="0.25">
      <c r="A25" s="195" t="s">
        <v>239</v>
      </c>
      <c r="B25" s="173" t="s">
        <v>236</v>
      </c>
      <c r="C25" s="174"/>
      <c r="D25" s="175" t="s">
        <v>240</v>
      </c>
      <c r="E25" s="176">
        <v>1</v>
      </c>
      <c r="F25" s="177"/>
      <c r="G25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5" s="170">
        <f>Расчёт[[#This Row],[5
Кол-во]]*Расчёт[[#This Row],[7
Цена GPL]]</f>
        <v>0</v>
      </c>
      <c r="I25" s="142" t="str">
        <f>IFERROR((Расчёт[[#This Row],[7
Цена GPL]]-Расчёт[[#This Row],[10
Цена Вход]])/Расчёт[[#This Row],[7
Цена GPL]],"")</f>
        <v/>
      </c>
      <c r="J25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5" s="225">
        <f>IF(OR(Расчёт[[#This Row],[27
тип индекса]]="subtitle",Расчёт[[#This Row],[1
№]]=""),0,Расчёт[[#This Row],[5
Кол-во]]*Расчёт[[#This Row],[10
Цена Вход]])</f>
        <v>0</v>
      </c>
      <c r="L25" s="226" t="s">
        <v>32</v>
      </c>
      <c r="M25" s="178"/>
      <c r="N25" s="179"/>
      <c r="O25" s="180"/>
      <c r="P25" s="181"/>
      <c r="Q25" s="182">
        <f>Расчёт[[#This Row],[5
Кол-во]]*Расчёт[[#This Row],[16
Вес]]</f>
        <v>0</v>
      </c>
      <c r="R25" s="181"/>
      <c r="S25" s="182">
        <f>Расчёт[[#This Row],[5
Кол-во]]*Расчёт[[#This Row],[18
Объём]]</f>
        <v>0</v>
      </c>
      <c r="T25" s="185"/>
      <c r="U25" s="171"/>
      <c r="V25" s="183" t="s">
        <v>20</v>
      </c>
      <c r="W25" s="186">
        <v>100</v>
      </c>
      <c r="X25" s="172" t="s">
        <v>30</v>
      </c>
      <c r="Y25" s="184">
        <f>Расчёт[[#This Row],[5
Кол-во]]*Расчёт[[#This Row],[21
Цена GPL]]</f>
        <v>0</v>
      </c>
      <c r="Z25" s="184">
        <f>Расчёт[[#This Row],[5
Кол-во]]*Расчёт[[#This Row],[23
Цена Вход]]</f>
        <v>100</v>
      </c>
      <c r="AA25" s="198"/>
      <c r="AB25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26" spans="1:28" ht="27" x14ac:dyDescent="0.25">
      <c r="A26" s="195" t="s">
        <v>241</v>
      </c>
      <c r="B26" s="173" t="s">
        <v>242</v>
      </c>
      <c r="C26" s="174"/>
      <c r="D26" s="175" t="s">
        <v>263</v>
      </c>
      <c r="E26" s="176">
        <v>1</v>
      </c>
      <c r="F26" s="177"/>
      <c r="G26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6" s="170">
        <f>Расчёт[[#This Row],[5
Кол-во]]*Расчёт[[#This Row],[7
Цена GPL]]</f>
        <v>0</v>
      </c>
      <c r="I26" s="142" t="str">
        <f>IFERROR((Расчёт[[#This Row],[7
Цена GPL]]-Расчёт[[#This Row],[10
Цена Вход]])/Расчёт[[#This Row],[7
Цена GPL]],"")</f>
        <v/>
      </c>
      <c r="J26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6" s="225">
        <f>IF(OR(Расчёт[[#This Row],[27
тип индекса]]="subtitle",Расчёт[[#This Row],[1
№]]=""),0,Расчёт[[#This Row],[5
Кол-во]]*Расчёт[[#This Row],[10
Цена Вход]])</f>
        <v>1.4124293785310735</v>
      </c>
      <c r="L26" s="226" t="s">
        <v>31</v>
      </c>
      <c r="M26" s="178"/>
      <c r="N26" s="179"/>
      <c r="O26" s="180"/>
      <c r="P26" s="181"/>
      <c r="Q26" s="182">
        <f>Расчёт[[#This Row],[5
Кол-во]]*Расчёт[[#This Row],[16
Вес]]</f>
        <v>0</v>
      </c>
      <c r="R26" s="181"/>
      <c r="S26" s="182">
        <f>Расчёт[[#This Row],[5
Кол-во]]*Расчёт[[#This Row],[18
Объём]]</f>
        <v>0</v>
      </c>
      <c r="T26" s="185"/>
      <c r="U26" s="171"/>
      <c r="V26" s="183" t="s">
        <v>20</v>
      </c>
      <c r="W26" s="186">
        <v>100</v>
      </c>
      <c r="X26" s="172" t="s">
        <v>30</v>
      </c>
      <c r="Y26" s="184">
        <f>Расчёт[[#This Row],[5
Кол-во]]*Расчёт[[#This Row],[21
Цена GPL]]</f>
        <v>0</v>
      </c>
      <c r="Z26" s="184">
        <f>Расчёт[[#This Row],[5
Кол-во]]*Расчёт[[#This Row],[23
Цена Вход]]</f>
        <v>100</v>
      </c>
      <c r="AA26" s="198"/>
      <c r="AB26" s="198">
        <f>ROUND(Расчёт[[#This Row],[11
Сумма Вход]]*IF(Расчёт[[#This Row],[12
НДС вход]]=INDEX(НДС,1),1/1.18*0.18,IF(Расчёт[[#This Row],[12
НДС вход]]=INDEX(НДС,2),0.18,0)),2)</f>
        <v>0.25</v>
      </c>
    </row>
    <row r="27" spans="1:28" ht="38.25" x14ac:dyDescent="0.25">
      <c r="A27" s="195" t="s">
        <v>243</v>
      </c>
      <c r="B27" s="173"/>
      <c r="C27" s="174"/>
      <c r="D27" s="175" t="s">
        <v>244</v>
      </c>
      <c r="E27" s="176"/>
      <c r="F27" s="177"/>
      <c r="G27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7" s="170">
        <f>Расчёт[[#This Row],[5
Кол-во]]*Расчёт[[#This Row],[7
Цена GPL]]</f>
        <v>0</v>
      </c>
      <c r="I27" s="142" t="str">
        <f>IFERROR((Расчёт[[#This Row],[7
Цена GPL]]-Расчёт[[#This Row],[10
Цена Вход]])/Расчёт[[#This Row],[7
Цена GPL]],"")</f>
        <v/>
      </c>
      <c r="J27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7" s="225">
        <f>IF(OR(Расчёт[[#This Row],[27
тип индекса]]="subtitle",Расчёт[[#This Row],[1
№]]=""),0,Расчёт[[#This Row],[5
Кол-во]]*Расчёт[[#This Row],[10
Цена Вход]])</f>
        <v>0</v>
      </c>
      <c r="L27" s="226" t="s">
        <v>31</v>
      </c>
      <c r="M27" s="178"/>
      <c r="N27" s="179"/>
      <c r="O27" s="180"/>
      <c r="P27" s="181"/>
      <c r="Q27" s="182">
        <f>Расчёт[[#This Row],[5
Кол-во]]*Расчёт[[#This Row],[16
Вес]]</f>
        <v>0</v>
      </c>
      <c r="R27" s="181"/>
      <c r="S27" s="182">
        <f>Расчёт[[#This Row],[5
Кол-во]]*Расчёт[[#This Row],[18
Объём]]</f>
        <v>0</v>
      </c>
      <c r="T27" s="185"/>
      <c r="U27" s="171"/>
      <c r="V27" s="183" t="s">
        <v>20</v>
      </c>
      <c r="W27" s="186">
        <v>100</v>
      </c>
      <c r="X27" s="172" t="s">
        <v>30</v>
      </c>
      <c r="Y27" s="184">
        <f>Расчёт[[#This Row],[5
Кол-во]]*Расчёт[[#This Row],[21
Цена GPL]]</f>
        <v>0</v>
      </c>
      <c r="Z27" s="184">
        <f>Расчёт[[#This Row],[5
Кол-во]]*Расчёт[[#This Row],[23
Цена Вход]]</f>
        <v>0</v>
      </c>
      <c r="AA27" s="198" t="s">
        <v>264</v>
      </c>
      <c r="AB27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28" spans="1:28" ht="54" x14ac:dyDescent="0.25">
      <c r="A28" s="195" t="s">
        <v>245</v>
      </c>
      <c r="B28" s="173"/>
      <c r="C28" s="174"/>
      <c r="D28" s="175" t="s">
        <v>246</v>
      </c>
      <c r="E28" s="176">
        <v>6</v>
      </c>
      <c r="F28" s="177"/>
      <c r="G28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8" s="170">
        <f>Расчёт[[#This Row],[5
Кол-во]]*Расчёт[[#This Row],[7
Цена GPL]]</f>
        <v>0</v>
      </c>
      <c r="I28" s="142" t="str">
        <f>IFERROR((Расчёт[[#This Row],[7
Цена GPL]]-Расчёт[[#This Row],[10
Цена Вход]])/Расчёт[[#This Row],[7
Цена GPL]],"")</f>
        <v/>
      </c>
      <c r="J28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8" s="225">
        <f>IF(OR(Расчёт[[#This Row],[27
тип индекса]]="subtitle",Расчёт[[#This Row],[1
№]]=""),0,Расчёт[[#This Row],[5
Кол-во]]*Расчёт[[#This Row],[10
Цена Вход]])</f>
        <v>8.4745762711864412</v>
      </c>
      <c r="L28" s="226" t="s">
        <v>31</v>
      </c>
      <c r="M28" s="178"/>
      <c r="N28" s="179"/>
      <c r="O28" s="180"/>
      <c r="P28" s="181"/>
      <c r="Q28" s="182">
        <f>Расчёт[[#This Row],[5
Кол-во]]*Расчёт[[#This Row],[16
Вес]]</f>
        <v>0</v>
      </c>
      <c r="R28" s="181"/>
      <c r="S28" s="182">
        <f>Расчёт[[#This Row],[5
Кол-во]]*Расчёт[[#This Row],[18
Объём]]</f>
        <v>0</v>
      </c>
      <c r="T28" s="185"/>
      <c r="U28" s="171"/>
      <c r="V28" s="183" t="s">
        <v>20</v>
      </c>
      <c r="W28" s="186">
        <v>100</v>
      </c>
      <c r="X28" s="172" t="s">
        <v>30</v>
      </c>
      <c r="Y28" s="184">
        <f>Расчёт[[#This Row],[5
Кол-во]]*Расчёт[[#This Row],[21
Цена GPL]]</f>
        <v>0</v>
      </c>
      <c r="Z28" s="184">
        <f>Расчёт[[#This Row],[5
Кол-во]]*Расчёт[[#This Row],[23
Цена Вход]]</f>
        <v>600</v>
      </c>
      <c r="AA28" s="198"/>
      <c r="AB28" s="198">
        <f>ROUND(Расчёт[[#This Row],[11
Сумма Вход]]*IF(Расчёт[[#This Row],[12
НДС вход]]=INDEX(НДС,1),1/1.18*0.18,IF(Расчёт[[#This Row],[12
НДС вход]]=INDEX(НДС,2),0.18,0)),2)</f>
        <v>1.53</v>
      </c>
    </row>
    <row r="29" spans="1:28" ht="67.5" x14ac:dyDescent="0.25">
      <c r="A29" s="195" t="s">
        <v>247</v>
      </c>
      <c r="B29" s="173"/>
      <c r="C29" s="174"/>
      <c r="D29" s="175" t="s">
        <v>248</v>
      </c>
      <c r="E29" s="176">
        <v>2</v>
      </c>
      <c r="F29" s="177"/>
      <c r="G29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9" s="170">
        <f>Расчёт[[#This Row],[5
Кол-во]]*Расчёт[[#This Row],[7
Цена GPL]]</f>
        <v>0</v>
      </c>
      <c r="I29" s="142" t="str">
        <f>IFERROR((Расчёт[[#This Row],[7
Цена GPL]]-Расчёт[[#This Row],[10
Цена Вход]])/Расчёт[[#This Row],[7
Цена GPL]],"")</f>
        <v/>
      </c>
      <c r="J29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29" s="225">
        <f>IF(OR(Расчёт[[#This Row],[27
тип индекса]]="subtitle",Расчёт[[#This Row],[1
№]]=""),0,Расчёт[[#This Row],[5
Кол-во]]*Расчёт[[#This Row],[10
Цена Вход]])</f>
        <v>2.8248587570621471</v>
      </c>
      <c r="L29" s="226" t="s">
        <v>31</v>
      </c>
      <c r="M29" s="178"/>
      <c r="N29" s="179"/>
      <c r="O29" s="180"/>
      <c r="P29" s="181"/>
      <c r="Q29" s="182">
        <f>Расчёт[[#This Row],[5
Кол-во]]*Расчёт[[#This Row],[16
Вес]]</f>
        <v>0</v>
      </c>
      <c r="R29" s="181"/>
      <c r="S29" s="182">
        <f>Расчёт[[#This Row],[5
Кол-во]]*Расчёт[[#This Row],[18
Объём]]</f>
        <v>0</v>
      </c>
      <c r="T29" s="185"/>
      <c r="U29" s="171"/>
      <c r="V29" s="183" t="s">
        <v>20</v>
      </c>
      <c r="W29" s="186">
        <v>100</v>
      </c>
      <c r="X29" s="172" t="s">
        <v>30</v>
      </c>
      <c r="Y29" s="184">
        <f>Расчёт[[#This Row],[5
Кол-во]]*Расчёт[[#This Row],[21
Цена GPL]]</f>
        <v>0</v>
      </c>
      <c r="Z29" s="184">
        <f>Расчёт[[#This Row],[5
Кол-во]]*Расчёт[[#This Row],[23
Цена Вход]]</f>
        <v>200</v>
      </c>
      <c r="AA29" s="198"/>
      <c r="AB29" s="198">
        <f>ROUND(Расчёт[[#This Row],[11
Сумма Вход]]*IF(Расчёт[[#This Row],[12
НДС вход]]=INDEX(НДС,1),1/1.18*0.18,IF(Расчёт[[#This Row],[12
НДС вход]]=INDEX(НДС,2),0.18,0)),2)</f>
        <v>0.51</v>
      </c>
    </row>
    <row r="30" spans="1:28" ht="40.5" x14ac:dyDescent="0.25">
      <c r="A30" s="195" t="s">
        <v>249</v>
      </c>
      <c r="B30" s="173"/>
      <c r="C30" s="174"/>
      <c r="D30" s="175" t="s">
        <v>250</v>
      </c>
      <c r="E30" s="176">
        <v>4</v>
      </c>
      <c r="F30" s="177"/>
      <c r="G30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0" s="170">
        <f>Расчёт[[#This Row],[5
Кол-во]]*Расчёт[[#This Row],[7
Цена GPL]]</f>
        <v>0</v>
      </c>
      <c r="I30" s="142" t="str">
        <f>IFERROR((Расчёт[[#This Row],[7
Цена GPL]]-Расчёт[[#This Row],[10
Цена Вход]])/Расчёт[[#This Row],[7
Цена GPL]],"")</f>
        <v/>
      </c>
      <c r="J30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0" s="225">
        <f>IF(OR(Расчёт[[#This Row],[27
тип индекса]]="subtitle",Расчёт[[#This Row],[1
№]]=""),0,Расчёт[[#This Row],[5
Кол-во]]*Расчёт[[#This Row],[10
Цена Вход]])</f>
        <v>5.6497175141242941</v>
      </c>
      <c r="L30" s="226" t="s">
        <v>31</v>
      </c>
      <c r="M30" s="178"/>
      <c r="N30" s="179"/>
      <c r="O30" s="180"/>
      <c r="P30" s="181"/>
      <c r="Q30" s="182">
        <f>Расчёт[[#This Row],[5
Кол-во]]*Расчёт[[#This Row],[16
Вес]]</f>
        <v>0</v>
      </c>
      <c r="R30" s="181"/>
      <c r="S30" s="182">
        <f>Расчёт[[#This Row],[5
Кол-во]]*Расчёт[[#This Row],[18
Объём]]</f>
        <v>0</v>
      </c>
      <c r="T30" s="185"/>
      <c r="U30" s="171"/>
      <c r="V30" s="183" t="s">
        <v>20</v>
      </c>
      <c r="W30" s="186">
        <v>100</v>
      </c>
      <c r="X30" s="172" t="s">
        <v>30</v>
      </c>
      <c r="Y30" s="184">
        <f>Расчёт[[#This Row],[5
Кол-во]]*Расчёт[[#This Row],[21
Цена GPL]]</f>
        <v>0</v>
      </c>
      <c r="Z30" s="184">
        <f>Расчёт[[#This Row],[5
Кол-во]]*Расчёт[[#This Row],[23
Цена Вход]]</f>
        <v>400</v>
      </c>
      <c r="AA30" s="198"/>
      <c r="AB30" s="198">
        <f>ROUND(Расчёт[[#This Row],[11
Сумма Вход]]*IF(Расчёт[[#This Row],[12
НДС вход]]=INDEX(НДС,1),1/1.18*0.18,IF(Расчёт[[#This Row],[12
НДС вход]]=INDEX(НДС,2),0.18,0)),2)</f>
        <v>1.02</v>
      </c>
    </row>
    <row r="31" spans="1:28" ht="76.5" x14ac:dyDescent="0.25">
      <c r="A31" s="195" t="s">
        <v>251</v>
      </c>
      <c r="B31" s="173"/>
      <c r="C31" s="174"/>
      <c r="D31" s="175" t="s">
        <v>252</v>
      </c>
      <c r="E31" s="176">
        <v>1</v>
      </c>
      <c r="F31" s="177"/>
      <c r="G31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1" s="170">
        <f>Расчёт[[#This Row],[5
Кол-во]]*Расчёт[[#This Row],[7
Цена GPL]]</f>
        <v>0</v>
      </c>
      <c r="I31" s="142" t="str">
        <f>IFERROR((Расчёт[[#This Row],[7
Цена GPL]]-Расчёт[[#This Row],[10
Цена Вход]])/Расчёт[[#This Row],[7
Цена GPL]],"")</f>
        <v/>
      </c>
      <c r="J31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1" s="225">
        <f>IF(OR(Расчёт[[#This Row],[27
тип индекса]]="subtitle",Расчёт[[#This Row],[1
№]]=""),0,Расчёт[[#This Row],[5
Кол-во]]*Расчёт[[#This Row],[10
Цена Вход]])</f>
        <v>1.4124293785310735</v>
      </c>
      <c r="L31" s="226" t="s">
        <v>31</v>
      </c>
      <c r="M31" s="178"/>
      <c r="N31" s="179"/>
      <c r="O31" s="180"/>
      <c r="P31" s="181"/>
      <c r="Q31" s="182">
        <f>Расчёт[[#This Row],[5
Кол-во]]*Расчёт[[#This Row],[16
Вес]]</f>
        <v>0</v>
      </c>
      <c r="R31" s="181"/>
      <c r="S31" s="182">
        <f>Расчёт[[#This Row],[5
Кол-во]]*Расчёт[[#This Row],[18
Объём]]</f>
        <v>0</v>
      </c>
      <c r="T31" s="185"/>
      <c r="U31" s="171"/>
      <c r="V31" s="183" t="s">
        <v>20</v>
      </c>
      <c r="W31" s="186">
        <v>100</v>
      </c>
      <c r="X31" s="172" t="s">
        <v>30</v>
      </c>
      <c r="Y31" s="184">
        <f>Расчёт[[#This Row],[5
Кол-во]]*Расчёт[[#This Row],[21
Цена GPL]]</f>
        <v>0</v>
      </c>
      <c r="Z31" s="184">
        <f>Расчёт[[#This Row],[5
Кол-во]]*Расчёт[[#This Row],[23
Цена Вход]]</f>
        <v>100</v>
      </c>
      <c r="AA31" s="198" t="s">
        <v>264</v>
      </c>
      <c r="AB31" s="198">
        <f>ROUND(Расчёт[[#This Row],[11
Сумма Вход]]*IF(Расчёт[[#This Row],[12
НДС вход]]=INDEX(НДС,1),1/1.18*0.18,IF(Расчёт[[#This Row],[12
НДС вход]]=INDEX(НДС,2),0.18,0)),2)</f>
        <v>0.25</v>
      </c>
    </row>
    <row r="32" spans="1:28" ht="67.5" x14ac:dyDescent="0.25">
      <c r="A32" s="195" t="s">
        <v>253</v>
      </c>
      <c r="B32" s="173"/>
      <c r="C32" s="174"/>
      <c r="D32" s="175" t="s">
        <v>254</v>
      </c>
      <c r="E32" s="176">
        <v>2</v>
      </c>
      <c r="F32" s="177"/>
      <c r="G32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2" s="170">
        <f>Расчёт[[#This Row],[5
Кол-во]]*Расчёт[[#This Row],[7
Цена GPL]]</f>
        <v>0</v>
      </c>
      <c r="I32" s="142" t="str">
        <f>IFERROR((Расчёт[[#This Row],[7
Цена GPL]]-Расчёт[[#This Row],[10
Цена Вход]])/Расчёт[[#This Row],[7
Цена GPL]],"")</f>
        <v/>
      </c>
      <c r="J32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2" s="225">
        <f>IF(OR(Расчёт[[#This Row],[27
тип индекса]]="subtitle",Расчёт[[#This Row],[1
№]]=""),0,Расчёт[[#This Row],[5
Кол-во]]*Расчёт[[#This Row],[10
Цена Вход]])</f>
        <v>2.8248587570621471</v>
      </c>
      <c r="L32" s="226" t="s">
        <v>31</v>
      </c>
      <c r="M32" s="178"/>
      <c r="N32" s="179"/>
      <c r="O32" s="180"/>
      <c r="P32" s="181"/>
      <c r="Q32" s="182">
        <f>Расчёт[[#This Row],[5
Кол-во]]*Расчёт[[#This Row],[16
Вес]]</f>
        <v>0</v>
      </c>
      <c r="R32" s="181"/>
      <c r="S32" s="182">
        <f>Расчёт[[#This Row],[5
Кол-во]]*Расчёт[[#This Row],[18
Объём]]</f>
        <v>0</v>
      </c>
      <c r="T32" s="185"/>
      <c r="U32" s="171"/>
      <c r="V32" s="183" t="s">
        <v>20</v>
      </c>
      <c r="W32" s="186">
        <v>100</v>
      </c>
      <c r="X32" s="172" t="s">
        <v>30</v>
      </c>
      <c r="Y32" s="184">
        <f>Расчёт[[#This Row],[5
Кол-во]]*Расчёт[[#This Row],[21
Цена GPL]]</f>
        <v>0</v>
      </c>
      <c r="Z32" s="184">
        <f>Расчёт[[#This Row],[5
Кол-во]]*Расчёт[[#This Row],[23
Цена Вход]]</f>
        <v>200</v>
      </c>
      <c r="AA32" s="198"/>
      <c r="AB32" s="198">
        <f>ROUND(Расчёт[[#This Row],[11
Сумма Вход]]*IF(Расчёт[[#This Row],[12
НДС вход]]=INDEX(НДС,1),1/1.18*0.18,IF(Расчёт[[#This Row],[12
НДС вход]]=INDEX(НДС,2),0.18,0)),2)</f>
        <v>0.51</v>
      </c>
    </row>
    <row r="33" spans="1:28" ht="27" x14ac:dyDescent="0.25">
      <c r="A33" s="195" t="s">
        <v>255</v>
      </c>
      <c r="B33" s="173"/>
      <c r="C33" s="174"/>
      <c r="D33" s="175" t="s">
        <v>256</v>
      </c>
      <c r="E33" s="176"/>
      <c r="F33" s="177"/>
      <c r="G33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3" s="170">
        <f>Расчёт[[#This Row],[5
Кол-во]]*Расчёт[[#This Row],[7
Цена GPL]]</f>
        <v>0</v>
      </c>
      <c r="I33" s="142" t="str">
        <f>IFERROR((Расчёт[[#This Row],[7
Цена GPL]]-Расчёт[[#This Row],[10
Цена Вход]])/Расчёт[[#This Row],[7
Цена GPL]],"")</f>
        <v/>
      </c>
      <c r="J33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3" s="225">
        <f>IF(OR(Расчёт[[#This Row],[27
тип индекса]]="subtitle",Расчёт[[#This Row],[1
№]]=""),0,Расчёт[[#This Row],[5
Кол-во]]*Расчёт[[#This Row],[10
Цена Вход]])</f>
        <v>0</v>
      </c>
      <c r="L33" s="226" t="s">
        <v>31</v>
      </c>
      <c r="M33" s="178"/>
      <c r="N33" s="179"/>
      <c r="O33" s="180"/>
      <c r="P33" s="181"/>
      <c r="Q33" s="182">
        <f>Расчёт[[#This Row],[5
Кол-во]]*Расчёт[[#This Row],[16
Вес]]</f>
        <v>0</v>
      </c>
      <c r="R33" s="181"/>
      <c r="S33" s="182">
        <f>Расчёт[[#This Row],[5
Кол-во]]*Расчёт[[#This Row],[18
Объём]]</f>
        <v>0</v>
      </c>
      <c r="T33" s="185"/>
      <c r="U33" s="171"/>
      <c r="V33" s="183" t="s">
        <v>20</v>
      </c>
      <c r="W33" s="186">
        <v>100</v>
      </c>
      <c r="X33" s="172" t="s">
        <v>30</v>
      </c>
      <c r="Y33" s="184">
        <f>Расчёт[[#This Row],[5
Кол-во]]*Расчёт[[#This Row],[21
Цена GPL]]</f>
        <v>0</v>
      </c>
      <c r="Z33" s="184">
        <f>Расчёт[[#This Row],[5
Кол-во]]*Расчёт[[#This Row],[23
Цена Вход]]</f>
        <v>0</v>
      </c>
      <c r="AA33" s="198"/>
      <c r="AB33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34" spans="1:28" ht="67.5" x14ac:dyDescent="0.25">
      <c r="A34" s="195" t="s">
        <v>255</v>
      </c>
      <c r="B34" s="173"/>
      <c r="C34" s="174"/>
      <c r="D34" s="175" t="s">
        <v>257</v>
      </c>
      <c r="E34" s="176"/>
      <c r="F34" s="177"/>
      <c r="G34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4" s="170">
        <f>Расчёт[[#This Row],[5
Кол-во]]*Расчёт[[#This Row],[7
Цена GPL]]</f>
        <v>0</v>
      </c>
      <c r="I34" s="142" t="str">
        <f>IFERROR((Расчёт[[#This Row],[7
Цена GPL]]-Расчёт[[#This Row],[10
Цена Вход]])/Расчёт[[#This Row],[7
Цена GPL]],"")</f>
        <v/>
      </c>
      <c r="J34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4" s="225">
        <f>IF(OR(Расчёт[[#This Row],[27
тип индекса]]="subtitle",Расчёт[[#This Row],[1
№]]=""),0,Расчёт[[#This Row],[5
Кол-во]]*Расчёт[[#This Row],[10
Цена Вход]])</f>
        <v>0</v>
      </c>
      <c r="L34" s="226" t="s">
        <v>31</v>
      </c>
      <c r="M34" s="178"/>
      <c r="N34" s="179"/>
      <c r="O34" s="180"/>
      <c r="P34" s="181"/>
      <c r="Q34" s="182">
        <f>Расчёт[[#This Row],[5
Кол-во]]*Расчёт[[#This Row],[16
Вес]]</f>
        <v>0</v>
      </c>
      <c r="R34" s="181"/>
      <c r="S34" s="182">
        <f>Расчёт[[#This Row],[5
Кол-во]]*Расчёт[[#This Row],[18
Объём]]</f>
        <v>0</v>
      </c>
      <c r="T34" s="185"/>
      <c r="U34" s="171"/>
      <c r="V34" s="183" t="s">
        <v>20</v>
      </c>
      <c r="W34" s="186">
        <v>100</v>
      </c>
      <c r="X34" s="172" t="s">
        <v>30</v>
      </c>
      <c r="Y34" s="184">
        <f>Расчёт[[#This Row],[5
Кол-во]]*Расчёт[[#This Row],[21
Цена GPL]]</f>
        <v>0</v>
      </c>
      <c r="Z34" s="184">
        <f>Расчёт[[#This Row],[5
Кол-во]]*Расчёт[[#This Row],[23
Цена Вход]]</f>
        <v>0</v>
      </c>
      <c r="AA34" s="198"/>
      <c r="AB34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35" spans="1:28" ht="108" x14ac:dyDescent="0.25">
      <c r="A35" s="195" t="s">
        <v>258</v>
      </c>
      <c r="B35" s="173"/>
      <c r="C35" s="174"/>
      <c r="D35" s="175" t="s">
        <v>259</v>
      </c>
      <c r="E35" s="176">
        <v>1</v>
      </c>
      <c r="F35" s="177"/>
      <c r="G35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5" s="170">
        <f>Расчёт[[#This Row],[5
Кол-во]]*Расчёт[[#This Row],[7
Цена GPL]]</f>
        <v>0</v>
      </c>
      <c r="I35" s="142" t="str">
        <f>IFERROR((Расчёт[[#This Row],[7
Цена GPL]]-Расчёт[[#This Row],[10
Цена Вход]])/Расчёт[[#This Row],[7
Цена GPL]],"")</f>
        <v/>
      </c>
      <c r="J35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5" s="225">
        <f>IF(OR(Расчёт[[#This Row],[27
тип индекса]]="subtitle",Расчёт[[#This Row],[1
№]]=""),0,Расчёт[[#This Row],[5
Кол-во]]*Расчёт[[#This Row],[10
Цена Вход]])</f>
        <v>1.4124293785310735</v>
      </c>
      <c r="L35" s="226" t="s">
        <v>31</v>
      </c>
      <c r="M35" s="178"/>
      <c r="N35" s="179"/>
      <c r="O35" s="180"/>
      <c r="P35" s="181"/>
      <c r="Q35" s="182">
        <f>Расчёт[[#This Row],[5
Кол-во]]*Расчёт[[#This Row],[16
Вес]]</f>
        <v>0</v>
      </c>
      <c r="R35" s="181"/>
      <c r="S35" s="182">
        <f>Расчёт[[#This Row],[5
Кол-во]]*Расчёт[[#This Row],[18
Объём]]</f>
        <v>0</v>
      </c>
      <c r="T35" s="185"/>
      <c r="U35" s="171"/>
      <c r="V35" s="183" t="s">
        <v>20</v>
      </c>
      <c r="W35" s="186">
        <v>100</v>
      </c>
      <c r="X35" s="172" t="s">
        <v>30</v>
      </c>
      <c r="Y35" s="184">
        <f>Расчёт[[#This Row],[5
Кол-во]]*Расчёт[[#This Row],[21
Цена GPL]]</f>
        <v>0</v>
      </c>
      <c r="Z35" s="184">
        <f>Расчёт[[#This Row],[5
Кол-во]]*Расчёт[[#This Row],[23
Цена Вход]]</f>
        <v>100</v>
      </c>
      <c r="AA35" s="198"/>
      <c r="AB35" s="198">
        <f>ROUND(Расчёт[[#This Row],[11
Сумма Вход]]*IF(Расчёт[[#This Row],[12
НДС вход]]=INDEX(НДС,1),1/1.18*0.18,IF(Расчёт[[#This Row],[12
НДС вход]]=INDEX(НДС,2),0.18,0)),2)</f>
        <v>0.25</v>
      </c>
    </row>
    <row r="36" spans="1:28" ht="27" x14ac:dyDescent="0.25">
      <c r="A36" s="195" t="s">
        <v>260</v>
      </c>
      <c r="B36" s="173"/>
      <c r="C36" s="174"/>
      <c r="D36" s="175" t="s">
        <v>261</v>
      </c>
      <c r="E36" s="176"/>
      <c r="F36" s="177"/>
      <c r="G36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6" s="170">
        <f>Расчёт[[#This Row],[5
Кол-во]]*Расчёт[[#This Row],[7
Цена GPL]]</f>
        <v>0</v>
      </c>
      <c r="I36" s="142" t="str">
        <f>IFERROR((Расчёт[[#This Row],[7
Цена GPL]]-Расчёт[[#This Row],[10
Цена Вход]])/Расчёт[[#This Row],[7
Цена GPL]],"")</f>
        <v/>
      </c>
      <c r="J36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6" s="225">
        <f>IF(OR(Расчёт[[#This Row],[27
тип индекса]]="subtitle",Расчёт[[#This Row],[1
№]]=""),0,Расчёт[[#This Row],[5
Кол-во]]*Расчёт[[#This Row],[10
Цена Вход]])</f>
        <v>0</v>
      </c>
      <c r="L36" s="226" t="s">
        <v>31</v>
      </c>
      <c r="M36" s="178"/>
      <c r="N36" s="179"/>
      <c r="O36" s="180"/>
      <c r="P36" s="181"/>
      <c r="Q36" s="182">
        <f>Расчёт[[#This Row],[5
Кол-во]]*Расчёт[[#This Row],[16
Вес]]</f>
        <v>0</v>
      </c>
      <c r="R36" s="181"/>
      <c r="S36" s="182">
        <f>Расчёт[[#This Row],[5
Кол-во]]*Расчёт[[#This Row],[18
Объём]]</f>
        <v>0</v>
      </c>
      <c r="T36" s="185"/>
      <c r="U36" s="171"/>
      <c r="V36" s="183" t="s">
        <v>20</v>
      </c>
      <c r="W36" s="186">
        <v>0</v>
      </c>
      <c r="X36" s="172" t="s">
        <v>30</v>
      </c>
      <c r="Y36" s="184">
        <f>Расчёт[[#This Row],[5
Кол-во]]*Расчёт[[#This Row],[21
Цена GPL]]</f>
        <v>0</v>
      </c>
      <c r="Z36" s="184">
        <f>Расчёт[[#This Row],[5
Кол-во]]*Расчёт[[#This Row],[23
Цена Вход]]</f>
        <v>0</v>
      </c>
      <c r="AA36" s="198"/>
      <c r="AB36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37" spans="1:28" x14ac:dyDescent="0.25">
      <c r="A37" s="195"/>
      <c r="B37" s="173"/>
      <c r="C37" s="174"/>
      <c r="D37" s="175"/>
      <c r="E37" s="176"/>
      <c r="F37" s="177"/>
      <c r="G37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7" s="170">
        <f>Расчёт[[#This Row],[5
Кол-во]]*Расчёт[[#This Row],[7
Цена GPL]]</f>
        <v>0</v>
      </c>
      <c r="I37" s="142" t="str">
        <f>IFERROR((Расчёт[[#This Row],[7
Цена GPL]]-Расчёт[[#This Row],[10
Цена Вход]])/Расчёт[[#This Row],[7
Цена GPL]],"")</f>
        <v/>
      </c>
      <c r="J37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7" s="225">
        <f>IF(OR(Расчёт[[#This Row],[27
тип индекса]]="subtitle",Расчёт[[#This Row],[1
№]]=""),0,Расчёт[[#This Row],[5
Кол-во]]*Расчёт[[#This Row],[10
Цена Вход]])</f>
        <v>0</v>
      </c>
      <c r="L37" s="226" t="s">
        <v>31</v>
      </c>
      <c r="M37" s="178"/>
      <c r="N37" s="179"/>
      <c r="O37" s="180"/>
      <c r="P37" s="181"/>
      <c r="Q37" s="182">
        <f>Расчёт[[#This Row],[5
Кол-во]]*Расчёт[[#This Row],[16
Вес]]</f>
        <v>0</v>
      </c>
      <c r="R37" s="181"/>
      <c r="S37" s="182">
        <f>Расчёт[[#This Row],[5
Кол-во]]*Расчёт[[#This Row],[18
Объём]]</f>
        <v>0</v>
      </c>
      <c r="T37" s="185"/>
      <c r="U37" s="171"/>
      <c r="V37" s="183" t="s">
        <v>20</v>
      </c>
      <c r="W37" s="186">
        <v>100</v>
      </c>
      <c r="X37" s="172" t="s">
        <v>30</v>
      </c>
      <c r="Y37" s="184">
        <f>Расчёт[[#This Row],[5
Кол-во]]*Расчёт[[#This Row],[21
Цена GPL]]</f>
        <v>0</v>
      </c>
      <c r="Z37" s="184">
        <f>Расчёт[[#This Row],[5
Кол-во]]*Расчёт[[#This Row],[23
Цена Вход]]</f>
        <v>0</v>
      </c>
      <c r="AA37" s="198"/>
      <c r="AB37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38" spans="1:28" x14ac:dyDescent="0.25">
      <c r="A38" s="195"/>
      <c r="B38" s="173"/>
      <c r="C38" s="174"/>
      <c r="D38" s="175"/>
      <c r="E38" s="176"/>
      <c r="F38" s="177"/>
      <c r="G38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8" s="170">
        <f>Расчёт[[#This Row],[5
Кол-во]]*Расчёт[[#This Row],[7
Цена GPL]]</f>
        <v>0</v>
      </c>
      <c r="I38" s="142" t="str">
        <f>IFERROR((Расчёт[[#This Row],[7
Цена GPL]]-Расчёт[[#This Row],[10
Цена Вход]])/Расчёт[[#This Row],[7
Цена GPL]],"")</f>
        <v/>
      </c>
      <c r="J38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8" s="225">
        <f>IF(OR(Расчёт[[#This Row],[27
тип индекса]]="subtitle",Расчёт[[#This Row],[1
№]]=""),0,Расчёт[[#This Row],[5
Кол-во]]*Расчёт[[#This Row],[10
Цена Вход]])</f>
        <v>0</v>
      </c>
      <c r="L38" s="226" t="s">
        <v>31</v>
      </c>
      <c r="M38" s="178"/>
      <c r="N38" s="179"/>
      <c r="O38" s="180"/>
      <c r="P38" s="181"/>
      <c r="Q38" s="182">
        <f>Расчёт[[#This Row],[5
Кол-во]]*Расчёт[[#This Row],[16
Вес]]</f>
        <v>0</v>
      </c>
      <c r="R38" s="181"/>
      <c r="S38" s="182">
        <f>Расчёт[[#This Row],[5
Кол-во]]*Расчёт[[#This Row],[18
Объём]]</f>
        <v>0</v>
      </c>
      <c r="T38" s="185"/>
      <c r="U38" s="171"/>
      <c r="V38" s="183" t="s">
        <v>20</v>
      </c>
      <c r="W38" s="186">
        <v>100</v>
      </c>
      <c r="X38" s="172" t="s">
        <v>30</v>
      </c>
      <c r="Y38" s="184">
        <f>Расчёт[[#This Row],[5
Кол-во]]*Расчёт[[#This Row],[21
Цена GPL]]</f>
        <v>0</v>
      </c>
      <c r="Z38" s="184">
        <f>Расчёт[[#This Row],[5
Кол-во]]*Расчёт[[#This Row],[23
Цена Вход]]</f>
        <v>0</v>
      </c>
      <c r="AA38" s="198"/>
      <c r="AB38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39" spans="1:28" x14ac:dyDescent="0.25">
      <c r="A39" s="195"/>
      <c r="B39" s="173"/>
      <c r="C39" s="174"/>
      <c r="D39" s="175"/>
      <c r="E39" s="176"/>
      <c r="F39" s="177"/>
      <c r="G39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9" s="170">
        <f>Расчёт[[#This Row],[5
Кол-во]]*Расчёт[[#This Row],[7
Цена GPL]]</f>
        <v>0</v>
      </c>
      <c r="I39" s="142" t="str">
        <f>IFERROR((Расчёт[[#This Row],[7
Цена GPL]]-Расчёт[[#This Row],[10
Цена Вход]])/Расчёт[[#This Row],[7
Цена GPL]],"")</f>
        <v/>
      </c>
      <c r="J39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39" s="225">
        <f>IF(OR(Расчёт[[#This Row],[27
тип индекса]]="subtitle",Расчёт[[#This Row],[1
№]]=""),0,Расчёт[[#This Row],[5
Кол-во]]*Расчёт[[#This Row],[10
Цена Вход]])</f>
        <v>0</v>
      </c>
      <c r="L39" s="226" t="s">
        <v>31</v>
      </c>
      <c r="M39" s="178"/>
      <c r="N39" s="179"/>
      <c r="O39" s="180"/>
      <c r="P39" s="181"/>
      <c r="Q39" s="182">
        <f>Расчёт[[#This Row],[5
Кол-во]]*Расчёт[[#This Row],[16
Вес]]</f>
        <v>0</v>
      </c>
      <c r="R39" s="181"/>
      <c r="S39" s="182">
        <f>Расчёт[[#This Row],[5
Кол-во]]*Расчёт[[#This Row],[18
Объём]]</f>
        <v>0</v>
      </c>
      <c r="T39" s="185"/>
      <c r="U39" s="171"/>
      <c r="V39" s="183" t="s">
        <v>20</v>
      </c>
      <c r="W39" s="186">
        <v>100</v>
      </c>
      <c r="X39" s="172" t="s">
        <v>30</v>
      </c>
      <c r="Y39" s="184">
        <f>Расчёт[[#This Row],[5
Кол-во]]*Расчёт[[#This Row],[21
Цена GPL]]</f>
        <v>0</v>
      </c>
      <c r="Z39" s="184">
        <f>Расчёт[[#This Row],[5
Кол-во]]*Расчёт[[#This Row],[23
Цена Вход]]</f>
        <v>0</v>
      </c>
      <c r="AA39" s="198"/>
      <c r="AB39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40" spans="1:28" x14ac:dyDescent="0.25">
      <c r="A40" s="195"/>
      <c r="B40" s="173"/>
      <c r="C40" s="174"/>
      <c r="D40" s="175"/>
      <c r="E40" s="176"/>
      <c r="F40" s="177"/>
      <c r="G40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0" s="170">
        <f>Расчёт[[#This Row],[5
Кол-во]]*Расчёт[[#This Row],[7
Цена GPL]]</f>
        <v>0</v>
      </c>
      <c r="I40" s="142" t="str">
        <f>IFERROR((Расчёт[[#This Row],[7
Цена GPL]]-Расчёт[[#This Row],[10
Цена Вход]])/Расчёт[[#This Row],[7
Цена GPL]],"")</f>
        <v/>
      </c>
      <c r="J40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1.4124293785310735</v>
      </c>
      <c r="K40" s="225">
        <f>IF(OR(Расчёт[[#This Row],[27
тип индекса]]="subtitle",Расчёт[[#This Row],[1
№]]=""),0,Расчёт[[#This Row],[5
Кол-во]]*Расчёт[[#This Row],[10
Цена Вход]])</f>
        <v>0</v>
      </c>
      <c r="L40" s="226" t="s">
        <v>31</v>
      </c>
      <c r="M40" s="178"/>
      <c r="N40" s="179"/>
      <c r="O40" s="180"/>
      <c r="P40" s="181"/>
      <c r="Q40" s="182">
        <f>Расчёт[[#This Row],[5
Кол-во]]*Расчёт[[#This Row],[16
Вес]]</f>
        <v>0</v>
      </c>
      <c r="R40" s="181"/>
      <c r="S40" s="182">
        <f>Расчёт[[#This Row],[5
Кол-во]]*Расчёт[[#This Row],[18
Объём]]</f>
        <v>0</v>
      </c>
      <c r="T40" s="185"/>
      <c r="U40" s="171"/>
      <c r="V40" s="183" t="s">
        <v>20</v>
      </c>
      <c r="W40" s="186">
        <v>100</v>
      </c>
      <c r="X40" s="172" t="s">
        <v>30</v>
      </c>
      <c r="Y40" s="184">
        <f>Расчёт[[#This Row],[5
Кол-во]]*Расчёт[[#This Row],[21
Цена GPL]]</f>
        <v>0</v>
      </c>
      <c r="Z40" s="184">
        <f>Расчёт[[#This Row],[5
Кол-во]]*Расчёт[[#This Row],[23
Цена Вход]]</f>
        <v>0</v>
      </c>
      <c r="AA40" s="198"/>
      <c r="AB40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41" spans="1:28" x14ac:dyDescent="0.25">
      <c r="A41" s="195"/>
      <c r="B41" s="173"/>
      <c r="C41" s="174"/>
      <c r="D41" s="175"/>
      <c r="E41" s="176"/>
      <c r="F41" s="177"/>
      <c r="G41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1" s="170">
        <f>Расчёт[[#This Row],[5
Кол-во]]*Расчёт[[#This Row],[7
Цена GPL]]</f>
        <v>0</v>
      </c>
      <c r="I41" s="142" t="str">
        <f>IFERROR((Расчёт[[#This Row],[7
Цена GPL]]-Расчёт[[#This Row],[10
Цена Вход]])/Расчёт[[#This Row],[7
Цена GPL]],"")</f>
        <v/>
      </c>
      <c r="J41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1" s="225">
        <f>IF(OR(Расчёт[[#This Row],[27
тип индекса]]="subtitle",Расчёт[[#This Row],[1
№]]=""),0,Расчёт[[#This Row],[5
Кол-во]]*Расчёт[[#This Row],[10
Цена Вход]])</f>
        <v>0</v>
      </c>
      <c r="L41" s="226"/>
      <c r="M41" s="178"/>
      <c r="N41" s="179"/>
      <c r="O41" s="180"/>
      <c r="P41" s="181"/>
      <c r="Q41" s="182">
        <f>Расчёт[[#This Row],[5
Кол-во]]*Расчёт[[#This Row],[16
Вес]]</f>
        <v>0</v>
      </c>
      <c r="R41" s="181"/>
      <c r="S41" s="182">
        <f>Расчёт[[#This Row],[5
Кол-во]]*Расчёт[[#This Row],[18
Объём]]</f>
        <v>0</v>
      </c>
      <c r="T41" s="185"/>
      <c r="U41" s="171"/>
      <c r="V41" s="183"/>
      <c r="W41" s="186"/>
      <c r="X41" s="172"/>
      <c r="Y41" s="184">
        <f>Расчёт[[#This Row],[5
Кол-во]]*Расчёт[[#This Row],[21
Цена GPL]]</f>
        <v>0</v>
      </c>
      <c r="Z41" s="184">
        <f>Расчёт[[#This Row],[5
Кол-во]]*Расчёт[[#This Row],[23
Цена Вход]]</f>
        <v>0</v>
      </c>
      <c r="AA41" s="198"/>
      <c r="AB41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42" spans="1:28" x14ac:dyDescent="0.25">
      <c r="A42" s="195"/>
      <c r="B42" s="173"/>
      <c r="C42" s="174"/>
      <c r="D42" s="175"/>
      <c r="E42" s="176"/>
      <c r="F42" s="177"/>
      <c r="G42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2" s="170">
        <f>Расчёт[[#This Row],[5
Кол-во]]*Расчёт[[#This Row],[7
Цена GPL]]</f>
        <v>0</v>
      </c>
      <c r="I42" s="142" t="str">
        <f>IFERROR((Расчёт[[#This Row],[7
Цена GPL]]-Расчёт[[#This Row],[10
Цена Вход]])/Расчёт[[#This Row],[7
Цена GPL]],"")</f>
        <v/>
      </c>
      <c r="J42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2" s="225">
        <f>IF(OR(Расчёт[[#This Row],[27
тип индекса]]="subtitle",Расчёт[[#This Row],[1
№]]=""),0,Расчёт[[#This Row],[5
Кол-во]]*Расчёт[[#This Row],[10
Цена Вход]])</f>
        <v>0</v>
      </c>
      <c r="L42" s="226"/>
      <c r="M42" s="178"/>
      <c r="N42" s="179"/>
      <c r="O42" s="180"/>
      <c r="P42" s="181"/>
      <c r="Q42" s="182">
        <f>Расчёт[[#This Row],[5
Кол-во]]*Расчёт[[#This Row],[16
Вес]]</f>
        <v>0</v>
      </c>
      <c r="R42" s="181"/>
      <c r="S42" s="182">
        <f>Расчёт[[#This Row],[5
Кол-во]]*Расчёт[[#This Row],[18
Объём]]</f>
        <v>0</v>
      </c>
      <c r="T42" s="185"/>
      <c r="U42" s="171"/>
      <c r="V42" s="183"/>
      <c r="W42" s="186"/>
      <c r="X42" s="172"/>
      <c r="Y42" s="184">
        <f>Расчёт[[#This Row],[5
Кол-во]]*Расчёт[[#This Row],[21
Цена GPL]]</f>
        <v>0</v>
      </c>
      <c r="Z42" s="184">
        <f>Расчёт[[#This Row],[5
Кол-во]]*Расчёт[[#This Row],[23
Цена Вход]]</f>
        <v>0</v>
      </c>
      <c r="AA42" s="198"/>
      <c r="AB42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43" spans="1:28" x14ac:dyDescent="0.25">
      <c r="A43" s="195"/>
      <c r="B43" s="173"/>
      <c r="C43" s="174"/>
      <c r="D43" s="175"/>
      <c r="E43" s="176"/>
      <c r="F43" s="177"/>
      <c r="G43" s="168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3" s="170">
        <f>Расчёт[[#This Row],[5
Кол-во]]*Расчёт[[#This Row],[7
Цена GPL]]</f>
        <v>0</v>
      </c>
      <c r="I43" s="142" t="str">
        <f>IFERROR((Расчёт[[#This Row],[7
Цена GPL]]-Расчёт[[#This Row],[10
Цена Вход]])/Расчёт[[#This Row],[7
Цена GPL]],"")</f>
        <v/>
      </c>
      <c r="J43" s="224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3" s="225">
        <f>IF(OR(Расчёт[[#This Row],[27
тип индекса]]="subtitle",Расчёт[[#This Row],[1
№]]=""),0,Расчёт[[#This Row],[5
Кол-во]]*Расчёт[[#This Row],[10
Цена Вход]])</f>
        <v>0</v>
      </c>
      <c r="L43" s="226"/>
      <c r="M43" s="178"/>
      <c r="N43" s="179"/>
      <c r="O43" s="180"/>
      <c r="P43" s="181"/>
      <c r="Q43" s="182">
        <f>Расчёт[[#This Row],[5
Кол-во]]*Расчёт[[#This Row],[16
Вес]]</f>
        <v>0</v>
      </c>
      <c r="R43" s="181"/>
      <c r="S43" s="182">
        <f>Расчёт[[#This Row],[5
Кол-во]]*Расчёт[[#This Row],[18
Объём]]</f>
        <v>0</v>
      </c>
      <c r="T43" s="185"/>
      <c r="U43" s="171"/>
      <c r="V43" s="183"/>
      <c r="W43" s="186"/>
      <c r="X43" s="172"/>
      <c r="Y43" s="184">
        <f>Расчёт[[#This Row],[5
Кол-во]]*Расчёт[[#This Row],[21
Цена GPL]]</f>
        <v>0</v>
      </c>
      <c r="Z43" s="184">
        <f>Расчёт[[#This Row],[5
Кол-во]]*Расчёт[[#This Row],[23
Цена Вход]]</f>
        <v>0</v>
      </c>
      <c r="AA43" s="198"/>
      <c r="AB43" s="198">
        <f>ROUND(Расчёт[[#This Row],[11
Сумма Вход]]*IF(Расчёт[[#This Row],[12
НДС вход]]=INDEX(НДС,1),1/1.18*0.18,IF(Расчёт[[#This Row],[12
НДС вход]]=INDEX(НДС,2),0.18,0)),2)</f>
        <v>0</v>
      </c>
    </row>
    <row r="44" spans="1:28" s="162" customFormat="1" ht="17.25" thickBot="1" x14ac:dyDescent="0.35">
      <c r="A44" s="199"/>
      <c r="B44" s="200"/>
      <c r="C44" s="201"/>
      <c r="D44" s="202"/>
      <c r="E44" s="203"/>
      <c r="F44" s="203"/>
      <c r="G44" s="204" t="s">
        <v>10</v>
      </c>
      <c r="H44" s="205">
        <f>SUMIF(Расчёт[1
№],"&lt;&gt;",Расчёт[8
Сумма GPL])</f>
        <v>0</v>
      </c>
      <c r="I44" s="206" t="str">
        <f>IFERROR((H44-K44)/H44,"")</f>
        <v/>
      </c>
      <c r="J44" s="220" t="s">
        <v>10</v>
      </c>
      <c r="K44" s="221">
        <f>SUMIF(Расчёт[1
№],"&lt;&gt;",Расчёт[11
Сумма Вход])</f>
        <v>51.836158192090394</v>
      </c>
      <c r="L44" s="222"/>
      <c r="M44" s="200"/>
      <c r="N44" s="199"/>
      <c r="O44" s="203"/>
      <c r="P44" s="207"/>
      <c r="Q44" s="208">
        <f>SUMIF(Расчёт[1
№],"&lt;&gt;",Расчёт[17
Всего])</f>
        <v>0</v>
      </c>
      <c r="R44" s="207"/>
      <c r="S44" s="208">
        <f>SUMIF(Расчёт[1
№],"&lt;&gt;",Расчёт[19
Всего])</f>
        <v>0</v>
      </c>
      <c r="T44" s="209"/>
      <c r="U44" s="210"/>
      <c r="V44" s="211"/>
      <c r="W44" s="212"/>
      <c r="X44" s="213"/>
      <c r="Y44" s="214"/>
      <c r="Z44" s="215"/>
      <c r="AA44" s="216"/>
      <c r="AB44" s="216">
        <f>SUMIF(Расчёт[1
№],"&lt;&gt;",Расчёт[28
НДС закупки])</f>
        <v>7.83</v>
      </c>
    </row>
    <row r="45" spans="1:28" x14ac:dyDescent="0.25">
      <c r="A45" s="163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</row>
    <row r="46" spans="1:28" x14ac:dyDescent="0.25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</row>
    <row r="47" spans="1:28" ht="30" x14ac:dyDescent="0.25">
      <c r="A47" s="143" t="s">
        <v>88</v>
      </c>
      <c r="B47" s="144" t="s">
        <v>58</v>
      </c>
      <c r="C47" s="144" t="s">
        <v>13</v>
      </c>
      <c r="D47" s="144" t="s">
        <v>12</v>
      </c>
      <c r="E47" s="145" t="s">
        <v>57</v>
      </c>
      <c r="F47" s="145" t="s">
        <v>212</v>
      </c>
      <c r="G47" s="146" t="s">
        <v>63</v>
      </c>
      <c r="H47" s="147" t="s">
        <v>14</v>
      </c>
    </row>
    <row r="48" spans="1:28" ht="94.5" x14ac:dyDescent="0.25">
      <c r="A48" s="148" t="s">
        <v>70</v>
      </c>
      <c r="B48" s="140"/>
      <c r="C48" s="140"/>
      <c r="D48" s="149" t="s">
        <v>265</v>
      </c>
      <c r="E48" s="150">
        <v>0</v>
      </c>
      <c r="F48" s="150">
        <v>0</v>
      </c>
      <c r="G48" s="151">
        <v>1000</v>
      </c>
      <c r="H48" s="152"/>
    </row>
    <row r="49" spans="1:8" x14ac:dyDescent="0.25">
      <c r="A49" s="153" t="s">
        <v>71</v>
      </c>
      <c r="B49" s="154"/>
      <c r="C49" s="155"/>
      <c r="D49" s="149"/>
      <c r="E49" s="156">
        <f>вес</f>
        <v>0</v>
      </c>
      <c r="F49" s="157">
        <f>объём</f>
        <v>0</v>
      </c>
      <c r="G49" s="158"/>
      <c r="H49" s="159"/>
    </row>
    <row r="50" spans="1:8" x14ac:dyDescent="0.25">
      <c r="A50" s="153" t="s">
        <v>71</v>
      </c>
      <c r="B50" s="154"/>
      <c r="C50" s="155"/>
      <c r="D50" s="149"/>
      <c r="E50" s="156">
        <f>вес</f>
        <v>0</v>
      </c>
      <c r="F50" s="157">
        <f>объём</f>
        <v>0</v>
      </c>
      <c r="G50" s="158"/>
      <c r="H50" s="159"/>
    </row>
    <row r="51" spans="1:8" x14ac:dyDescent="0.25">
      <c r="A51" s="34"/>
      <c r="B51" s="33"/>
      <c r="C51" s="33"/>
      <c r="D51" s="35" t="s">
        <v>10</v>
      </c>
      <c r="E51" s="36">
        <f>SUMIF(Доставка[Вкл. в расчёт],"=да",Доставка[Общий вес, кг])</f>
        <v>0</v>
      </c>
      <c r="F51" s="36">
        <f>SUMIF(Доставка[Вкл. в расчёт],"=да",Доставка[Общий объем, м3])</f>
        <v>0</v>
      </c>
      <c r="G51" s="37">
        <f>SUMIF(Доставка[Вкл. в расчёт],"=да",Доставка[Цена, руб. с НДС])</f>
        <v>1000</v>
      </c>
      <c r="H51" s="38"/>
    </row>
  </sheetData>
  <dataConsolidate/>
  <mergeCells count="36">
    <mergeCell ref="A7:B7"/>
    <mergeCell ref="A6:B6"/>
    <mergeCell ref="AA14:AA15"/>
    <mergeCell ref="AA13:AB13"/>
    <mergeCell ref="AB14:AB15"/>
    <mergeCell ref="Y13:Z13"/>
    <mergeCell ref="T14:T15"/>
    <mergeCell ref="U14:U15"/>
    <mergeCell ref="V14:V15"/>
    <mergeCell ref="W14:W15"/>
    <mergeCell ref="Y14:Y15"/>
    <mergeCell ref="Z14:Z15"/>
    <mergeCell ref="X14:X15"/>
    <mergeCell ref="T13:X13"/>
    <mergeCell ref="A10:B10"/>
    <mergeCell ref="P13:Q14"/>
    <mergeCell ref="M13:M15"/>
    <mergeCell ref="N13:N15"/>
    <mergeCell ref="O13:O15"/>
    <mergeCell ref="R13:S14"/>
    <mergeCell ref="A2:K2"/>
    <mergeCell ref="G4:H4"/>
    <mergeCell ref="A13:A15"/>
    <mergeCell ref="B13:B15"/>
    <mergeCell ref="C13:C15"/>
    <mergeCell ref="D13:D15"/>
    <mergeCell ref="E13:E15"/>
    <mergeCell ref="F13:F15"/>
    <mergeCell ref="G13:H14"/>
    <mergeCell ref="I13:I15"/>
    <mergeCell ref="G9:H9"/>
    <mergeCell ref="A11:B11"/>
    <mergeCell ref="A9:B9"/>
    <mergeCell ref="A4:B4"/>
    <mergeCell ref="J13:L14"/>
    <mergeCell ref="A5:B5"/>
  </mergeCells>
  <conditionalFormatting sqref="G17:H44 J17:L44">
    <cfRule type="expression" dxfId="21" priority="2">
      <formula>валюта_расчёта="RUR"</formula>
    </cfRule>
    <cfRule type="expression" dxfId="20" priority="3">
      <formula>валюта_расчёта="EUR"</formula>
    </cfRule>
    <cfRule type="expression" dxfId="19" priority="4">
      <formula>валюта_расчёта="USD"</formula>
    </cfRule>
  </conditionalFormatting>
  <conditionalFormatting sqref="A17:AB43">
    <cfRule type="expression" dxfId="18" priority="1" stopIfTrue="1">
      <formula>INDIRECT(ADDRESS(ROW(),1))=""</formula>
    </cfRule>
  </conditionalFormatting>
  <conditionalFormatting sqref="U17:U43 W17:W43 Y17:Z43">
    <cfRule type="expression" dxfId="17" priority="5">
      <formula>OR(P17="RUR",T17="RUR")</formula>
    </cfRule>
  </conditionalFormatting>
  <conditionalFormatting sqref="W17:W43 Z17:Z43">
    <cfRule type="expression" dxfId="16" priority="14">
      <formula>OR(S17="RUR",V17="RUR")</formula>
    </cfRule>
    <cfRule type="expression" dxfId="15" priority="15">
      <formula>OR(S17="EUR",V17="EUR")</formula>
    </cfRule>
    <cfRule type="expression" dxfId="14" priority="16">
      <formula>OR(S17="USD",V17="USD")</formula>
    </cfRule>
    <cfRule type="expression" dxfId="13" priority="17">
      <formula>OR(S17="",V17="")</formula>
    </cfRule>
  </conditionalFormatting>
  <conditionalFormatting sqref="U17:U43 Y17:Y43">
    <cfRule type="expression" dxfId="12" priority="7">
      <formula>OR(P17="EUR",T17="EUR")</formula>
    </cfRule>
    <cfRule type="expression" dxfId="11" priority="12">
      <formula>OR(P17="USD",T17="USD")</formula>
    </cfRule>
    <cfRule type="expression" dxfId="10" priority="13">
      <formula>OR(P17="",T17="")</formula>
    </cfRule>
  </conditionalFormatting>
  <conditionalFormatting sqref="D17:D43">
    <cfRule type="expression" dxfId="9" priority="18">
      <formula>$AA17="subtitle"</formula>
    </cfRule>
    <cfRule type="expression" dxfId="8" priority="19">
      <formula>$AA17="assembly"</formula>
    </cfRule>
  </conditionalFormatting>
  <conditionalFormatting sqref="K17:K43">
    <cfRule type="expression" dxfId="7" priority="21">
      <formula>AND(K17=0,J17&lt;&gt;0,$A17&lt;&gt;"",$E17&lt;&gt;"")</formula>
    </cfRule>
  </conditionalFormatting>
  <conditionalFormatting sqref="L17:L43">
    <cfRule type="expression" dxfId="6" priority="22">
      <formula>OR(AND($X17&lt;&gt;INDEX(НДС,3),L17=INDEX(НДС,3)),AND(L17="",ISNUMBER(SEARCH(".0",$A17))))</formula>
    </cfRule>
  </conditionalFormatting>
  <conditionalFormatting sqref="A17:A43">
    <cfRule type="duplicateValues" dxfId="5" priority="261"/>
  </conditionalFormatting>
  <conditionalFormatting sqref="G17:H43 J17:K43">
    <cfRule type="containsErrors" dxfId="4" priority="20" stopIfTrue="1">
      <formula>ISERROR(G17)</formula>
    </cfRule>
  </conditionalFormatting>
  <dataValidations count="11">
    <dataValidation type="list" allowBlank="1" showInputMessage="1" showErrorMessage="1" sqref="E4">
      <formula1>валюта</formula1>
    </dataValidation>
    <dataValidation type="list" allowBlank="1" showInputMessage="1" showErrorMessage="1" sqref="C10">
      <formula1>отдел_закупок</formula1>
    </dataValidation>
    <dataValidation type="list" allowBlank="1" showInputMessage="1" showErrorMessage="1" sqref="B48:B50">
      <formula1>тип_доставки</formula1>
    </dataValidation>
    <dataValidation type="list" allowBlank="1" showInputMessage="1" showErrorMessage="1" sqref="A48:A50 E6:E7">
      <formula1>"да,нет"</formula1>
    </dataValidation>
    <dataValidation type="list" showInputMessage="1" showErrorMessage="1" sqref="E5">
      <formula1>НДС</formula1>
    </dataValidation>
    <dataValidation type="list" allowBlank="1" showInputMessage="1" showErrorMessage="1" sqref="L45 X45 X17:X43">
      <formula1>НДС</formula1>
    </dataValidation>
    <dataValidation type="list" allowBlank="1" showInputMessage="1" showErrorMessage="1" errorTitle="Ошибочные значения в ячейке" error="Можно ввести USD, EUR или RUR" sqref="T45 V45 T17:T43 V17:V43">
      <formula1>валюта</formula1>
    </dataValidation>
    <dataValidation type="list" allowBlank="1" showInputMessage="1" showErrorMessage="1" sqref="F45 F17:F43">
      <formula1>ед_изм</formula1>
    </dataValidation>
    <dataValidation operator="greaterThanOrEqual" allowBlank="1" showInputMessage="1" showErrorMessage="1" sqref="A45 A17:A43"/>
    <dataValidation type="decimal" allowBlank="1" showInputMessage="1" showErrorMessage="1" sqref="E45 E17:E43">
      <formula1>0</formula1>
      <formula2>2000000000000000</formula2>
    </dataValidation>
    <dataValidation type="list" allowBlank="1" showInputMessage="1" showErrorMessage="1" sqref="L17:L43">
      <formula1>"без НДС,н/о НДС"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PN_Click">
                <anchor moveWithCells="1" sizeWithCells="1">
                  <from>
                    <xdr:col>2</xdr:col>
                    <xdr:colOff>981075</xdr:colOff>
                    <xdr:row>12</xdr:row>
                    <xdr:rowOff>28575</xdr:rowOff>
                  </from>
                  <to>
                    <xdr:col>2</xdr:col>
                    <xdr:colOff>1628775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Description_Click">
                <anchor moveWithCells="1" sizeWithCells="1">
                  <from>
                    <xdr:col>3</xdr:col>
                    <xdr:colOff>2152650</xdr:colOff>
                    <xdr:row>12</xdr:row>
                    <xdr:rowOff>38100</xdr:rowOff>
                  </from>
                  <to>
                    <xdr:col>3</xdr:col>
                    <xdr:colOff>3343275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Кнопка 12">
              <controlPr defaultSize="0" print="0" autoFill="0" autoPict="0" macro="[0]!addFiveRowsLast_Click">
                <anchor moveWithCells="1" sizeWithCells="1">
                  <from>
                    <xdr:col>1</xdr:col>
                    <xdr:colOff>57150</xdr:colOff>
                    <xdr:row>43</xdr:row>
                    <xdr:rowOff>19050</xdr:rowOff>
                  </from>
                  <to>
                    <xdr:col>1</xdr:col>
                    <xdr:colOff>628650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Кнопка 15">
              <controlPr defaultSize="0" print="0" autoFill="0" autoPict="0" macro="[0]!addTwentyRowsLast_Click">
                <anchor moveWithCells="1" sizeWithCells="1">
                  <from>
                    <xdr:col>1</xdr:col>
                    <xdr:colOff>666750</xdr:colOff>
                    <xdr:row>43</xdr:row>
                    <xdr:rowOff>19050</xdr:rowOff>
                  </from>
                  <to>
                    <xdr:col>1</xdr:col>
                    <xdr:colOff>1219200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8" name="Кнопка 12">
              <controlPr defaultSize="0" print="0" autoFill="0" autoPict="0" macro="[0]!addFiveRowsFirst_Click">
                <anchor moveWithCells="1" sizeWithCells="1">
                  <from>
                    <xdr:col>1</xdr:col>
                    <xdr:colOff>47625</xdr:colOff>
                    <xdr:row>13</xdr:row>
                    <xdr:rowOff>304800</xdr:rowOff>
                  </from>
                  <to>
                    <xdr:col>1</xdr:col>
                    <xdr:colOff>628650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9" name="Кнопка 12">
              <controlPr defaultSize="0" print="0" autoFill="0" autoPict="0" macro="[0]!addTwentyRowsFirst_Click">
                <anchor moveWithCells="1" sizeWithCells="1">
                  <from>
                    <xdr:col>1</xdr:col>
                    <xdr:colOff>647700</xdr:colOff>
                    <xdr:row>13</xdr:row>
                    <xdr:rowOff>304800</xdr:rowOff>
                  </from>
                  <to>
                    <xdr:col>1</xdr:col>
                    <xdr:colOff>1228725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0" id="{00000000-000E-0000-0100-000030000000}">
            <x14:iconSet iconSet="3Arrows" custom="1">
              <x14:cfvo type="percent">
                <xm:f>0</xm:f>
              </x14:cfvo>
              <x14:cfvo type="formula">
                <xm:f>курс_USD_ЦБ*0.95</xm:f>
              </x14:cfvo>
              <x14:cfvo type="formula">
                <xm:f>курс_USD_ЦБ*1.05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61" id="{00000000-000E-0000-0100-000031000000}">
            <x14:iconSet iconSet="3Triangles" custom="1">
              <x14:cfvo type="percent">
                <xm:f>0</xm:f>
              </x14:cfvo>
              <x14:cfvo type="formula">
                <xm:f>курс_EUR_ЦБ*0.95</xm:f>
              </x14:cfvo>
              <x14:cfvo type="formula">
                <xm:f>курс_EUR_ЦБ*1.05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H6:H7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>
          <x14:colorSeries theme="8" tint="-0.249977111117893"/>
          <x14:colorNegative theme="9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динамика_курса_EUR</xm:f>
              <xm:sqref>H11</xm:sqref>
            </x14:sparkline>
            <x14:sparkline>
              <xm:f>динамика_курса_USD</xm:f>
              <xm:sqref>H10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P43"/>
  <sheetViews>
    <sheetView topLeftCell="B1" zoomScaleNormal="100" workbookViewId="0">
      <selection activeCell="B38" sqref="B38:H38"/>
    </sheetView>
  </sheetViews>
  <sheetFormatPr defaultColWidth="9.140625" defaultRowHeight="15" outlineLevelRow="2" x14ac:dyDescent="0.25"/>
  <cols>
    <col min="1" max="1" width="9.140625" style="84"/>
    <col min="2" max="2" width="5.140625" style="85" bestFit="1" customWidth="1"/>
    <col min="3" max="3" width="15.42578125" style="84" hidden="1" customWidth="1"/>
    <col min="4" max="4" width="4.28515625" style="84" hidden="1" customWidth="1"/>
    <col min="5" max="5" width="55.5703125" style="84" bestFit="1" customWidth="1"/>
    <col min="6" max="6" width="5" style="84" bestFit="1" customWidth="1"/>
    <col min="7" max="7" width="7" style="84" hidden="1" customWidth="1"/>
    <col min="8" max="10" width="10" style="84" bestFit="1" customWidth="1"/>
    <col min="11" max="11" width="9.85546875" style="84" hidden="1" customWidth="1"/>
    <col min="12" max="12" width="5.7109375" style="84" customWidth="1"/>
    <col min="13" max="13" width="7.28515625" style="84" hidden="1" customWidth="1"/>
    <col min="14" max="14" width="9.7109375" style="84" customWidth="1"/>
    <col min="15" max="15" width="9.85546875" style="84" bestFit="1" customWidth="1"/>
    <col min="16" max="16" width="9.28515625" style="84" bestFit="1" customWidth="1"/>
    <col min="17" max="16384" width="9.140625" style="84"/>
  </cols>
  <sheetData>
    <row r="1" spans="2:13" x14ac:dyDescent="0.25">
      <c r="B1" s="193"/>
      <c r="C1"/>
      <c r="D1"/>
      <c r="E1"/>
      <c r="F1"/>
      <c r="G1"/>
      <c r="H1"/>
      <c r="I1"/>
      <c r="J1"/>
      <c r="K1"/>
      <c r="L1"/>
      <c r="M1"/>
    </row>
    <row r="20" spans="2:16" ht="51" x14ac:dyDescent="0.25">
      <c r="B20" s="243" t="s">
        <v>2</v>
      </c>
      <c r="C20" s="244" t="s">
        <v>3</v>
      </c>
      <c r="D20" s="244" t="s">
        <v>288</v>
      </c>
      <c r="E20" s="244" t="s">
        <v>5</v>
      </c>
      <c r="F20" s="244" t="s">
        <v>6</v>
      </c>
      <c r="G20" s="244" t="s">
        <v>289</v>
      </c>
      <c r="H20" s="244" t="str">
        <f>"Цена"&amp;IF(включить_НДС&lt;&gt;INDEX(НДС,3)," "&amp;включить_НДС,"")&amp;", "&amp;INDEX(валюта_кп,MATCH(валюта_расчёта,валюта,0))</f>
        <v>Цена без НДС, долларов США</v>
      </c>
      <c r="I20" s="244" t="str">
        <f>"Сумма"&amp;IF(включить_НДС&lt;&gt;INDEX(НДС,3)," "&amp;включить_НДС,"")&amp;", "&amp;INDEX(валюта_кп,MATCH(валюта_расчёта,валюта,0))</f>
        <v>Сумма без НДС, долларов США</v>
      </c>
      <c r="J20" s="244" t="str">
        <f>"НДС, "&amp;INDEX(валюта_кп,MATCH(валюта_расчёта,валюта,0))</f>
        <v>НДС, долларов США</v>
      </c>
      <c r="K20" s="244" t="s">
        <v>13</v>
      </c>
      <c r="M20" s="84" t="s">
        <v>170</v>
      </c>
      <c r="N20" s="244" t="s">
        <v>171</v>
      </c>
      <c r="O20" s="244" t="s">
        <v>172</v>
      </c>
      <c r="P20" s="244" t="s">
        <v>173</v>
      </c>
    </row>
    <row r="21" spans="2:16" ht="47.25" customHeight="1" x14ac:dyDescent="0.25">
      <c r="B21" s="245" t="s">
        <v>213</v>
      </c>
      <c r="C21" s="342" t="str">
        <f>'Расчёт закупки'!$D18</f>
        <v>Эта позиция будет заголовком, т.к. у неё индекс состоит из одного числа "1" и в таблице найдены индексы, составляющие вместе подгруппу - "1.1", "1.2", "1.4.0" и т.д.</v>
      </c>
      <c r="D21" s="342"/>
      <c r="E21" s="342"/>
      <c r="F21" s="342"/>
      <c r="G21" s="342"/>
      <c r="H21" s="342"/>
      <c r="I21" s="342"/>
      <c r="J21" s="342"/>
      <c r="K21" s="342"/>
      <c r="M21" s="240" t="s">
        <v>269</v>
      </c>
      <c r="N21" s="240" t="s">
        <v>72</v>
      </c>
      <c r="O21" s="240" t="s">
        <v>160</v>
      </c>
      <c r="P21" s="242">
        <v>0.1</v>
      </c>
    </row>
    <row r="22" spans="2:16" outlineLevel="1" x14ac:dyDescent="0.25">
      <c r="B22" s="238" t="s">
        <v>214</v>
      </c>
      <c r="C22" s="239" t="str">
        <f>'Расчёт закупки'!$B21</f>
        <v>Вендор 1</v>
      </c>
      <c r="D22" s="239">
        <f>'Расчёт закупки'!$C21</f>
        <v>0</v>
      </c>
      <c r="E22" s="239" t="str">
        <f>'Расчёт закупки'!$D21</f>
        <v>Этот товар входит в подгруппу "1"</v>
      </c>
      <c r="F22" s="240">
        <f>'Расчёт закупки'!$E21</f>
        <v>2</v>
      </c>
      <c r="G22" s="240">
        <f>'Расчёт закупки'!$F21</f>
        <v>0</v>
      </c>
      <c r="H22" s="241">
        <f>ROUND(IF(INDEX(источник,1)=$O22,'Расчёт закупки'!$G21,'Расчёт закупки'!$J21)*IF(включить_транспортные_расходы="да",1+доля_доставки,1)*IF(INDEX(прибыль,1)=$N22,(1+$P22),1/(1-$P22)),2)</f>
        <v>2.0099999999999998</v>
      </c>
      <c r="I22" s="241">
        <f>$F22*$H22</f>
        <v>4.0199999999999996</v>
      </c>
      <c r="J22" s="241">
        <f>ROUND($I22*IF('Расчёт закупки'!$L21=INDEX(НДС,1),0.18/1.18,IF('Расчёт закупки'!$L21=INDEX(НДС,2),0.18,0)),2)</f>
        <v>0.72</v>
      </c>
      <c r="K22" s="239">
        <f>'Расчёт закупки'!$M21</f>
        <v>0</v>
      </c>
      <c r="M22" s="240" t="s">
        <v>272</v>
      </c>
      <c r="N22" s="240" t="s">
        <v>72</v>
      </c>
      <c r="O22" s="240" t="s">
        <v>160</v>
      </c>
      <c r="P22" s="242">
        <v>0.1</v>
      </c>
    </row>
    <row r="23" spans="2:16" ht="40.5" outlineLevel="1" x14ac:dyDescent="0.25">
      <c r="B23" s="238" t="s">
        <v>233</v>
      </c>
      <c r="C23" s="239" t="str">
        <f>'Расчёт закупки'!$B22</f>
        <v>Вендор 1</v>
      </c>
      <c r="D23" s="239">
        <f>'Расчёт закупки'!$C22</f>
        <v>0</v>
      </c>
      <c r="E23" s="239" t="str">
        <f>'Расчёт закупки'!$D22</f>
        <v>Цена закупки этого товара указана "без НДС", а значит при расчёте продажи к нему будет автоматически добавлено 18%</v>
      </c>
      <c r="F23" s="240">
        <f>'Расчёт закупки'!$E22</f>
        <v>5</v>
      </c>
      <c r="G23" s="240">
        <f>'Расчёт закупки'!$F22</f>
        <v>0</v>
      </c>
      <c r="H23" s="241">
        <f>ROUND(IF(INDEX(источник,1)=$O23,'Расчёт закупки'!$G22,'Расчёт закупки'!$J22)*IF(включить_транспортные_расходы="да",1+доля_доставки,1)*IF(INDEX(прибыль,1)=$N23,(1+$P23),1/(1-$P23)),2)</f>
        <v>2.37</v>
      </c>
      <c r="I23" s="241">
        <f>$F23*$H23</f>
        <v>11.850000000000001</v>
      </c>
      <c r="J23" s="241">
        <f>ROUND($I23*IF('Расчёт закупки'!$L22=INDEX(НДС,1),0.18/1.18,IF('Расчёт закупки'!$L22=INDEX(НДС,2),0.18,0)),2)</f>
        <v>2.13</v>
      </c>
      <c r="K23" s="239">
        <f>'Расчёт закупки'!$M22</f>
        <v>0</v>
      </c>
      <c r="M23" s="240" t="s">
        <v>273</v>
      </c>
      <c r="N23" s="240" t="s">
        <v>72</v>
      </c>
      <c r="O23" s="240" t="s">
        <v>160</v>
      </c>
      <c r="P23" s="242">
        <v>0.1</v>
      </c>
    </row>
    <row r="24" spans="2:16" ht="27" outlineLevel="1" x14ac:dyDescent="0.25">
      <c r="B24" s="238" t="s">
        <v>241</v>
      </c>
      <c r="C24" s="239" t="str">
        <f>'Расчёт закупки'!$B26</f>
        <v>Вендор 3</v>
      </c>
      <c r="D24" s="239">
        <f>'Расчёт закупки'!$C26</f>
        <v>0</v>
      </c>
      <c r="E24" s="239" t="str">
        <f>'Расчёт закупки'!$D26</f>
        <v>В КП этот товар будет идти сразу после индекса "1.2" - строки сортируются по значению индексов</v>
      </c>
      <c r="F24" s="240">
        <f>'Расчёт закупки'!$E26</f>
        <v>1</v>
      </c>
      <c r="G24" s="240">
        <f>'Расчёт закупки'!$F26</f>
        <v>0</v>
      </c>
      <c r="H24" s="241">
        <f>ROUND(IF(INDEX(источник,1)=$O24,'Расчёт закупки'!$G26,'Расчёт закупки'!$J26)*IF(включить_транспортные_расходы="да",1+доля_доставки,1)*IF(INDEX(прибыль,1)=$N24,(1+$P24),1/(1-$P24)),2)</f>
        <v>2.0099999999999998</v>
      </c>
      <c r="I24" s="241">
        <f>$F24*$H24</f>
        <v>2.0099999999999998</v>
      </c>
      <c r="J24" s="241">
        <f>ROUND($I24*IF('Расчёт закупки'!$L26=INDEX(НДС,1),0.18/1.18,IF('Расчёт закупки'!$L26=INDEX(НДС,2),0.18,0)),2)</f>
        <v>0.36</v>
      </c>
      <c r="K24" s="239">
        <f>'Расчёт закупки'!$M26</f>
        <v>0</v>
      </c>
      <c r="M24" s="240" t="s">
        <v>277</v>
      </c>
      <c r="N24" s="240" t="s">
        <v>72</v>
      </c>
      <c r="O24" s="240" t="s">
        <v>160</v>
      </c>
      <c r="P24" s="242">
        <v>0.1</v>
      </c>
    </row>
    <row r="25" spans="2:16" ht="48.75" customHeight="1" outlineLevel="1" x14ac:dyDescent="0.25">
      <c r="B25" s="238" t="s">
        <v>294</v>
      </c>
      <c r="C25" s="333" t="str">
        <f>'Расчёт закупки'!$D27</f>
        <v>Это заголовок комплекта (сборки), потому что индекс оканчивается на ".0". Наименование таких позиций выделяется курсивом</v>
      </c>
      <c r="D25" s="334"/>
      <c r="E25" s="335"/>
      <c r="F25" s="339">
        <f>GCD('Расчёт закупки'!$E27,'Расчёт закупки'!$E28,'Расчёт закупки'!$E29,'Расчёт закупки'!$E30,)</f>
        <v>2</v>
      </c>
      <c r="G25" s="339" t="str">
        <f>INDEX(ед_изм,2)</f>
        <v>компл</v>
      </c>
      <c r="H25" s="330">
        <f>ROUND(IF(включить_транспортные_расходы="да",1+доля_доставки,1)*SUM(IF(INDEX(источник,1)=$O25,'Расчёт закупки'!$H$27,'Расчёт закупки'!$K$27)*IF(INDEX(прибыль,1)=$N25,(1+$P25),1/(1-$P25)),IF(INDEX(источник,1)=$O26,'Расчёт закупки'!$H$28,'Расчёт закупки'!$K$28)*IF(INDEX(прибыль,1)=$N26,(1+$P26),1/(1-$P26)),IF(INDEX(источник,1)=$O27,'Расчёт закупки'!$H$29,'Расчёт закупки'!$K$29)*IF(INDEX(прибыль,1)=$N27,(1+$P27),1/(1-$P27)),IF(INDEX(источник,1)=$O28,'Расчёт закупки'!$H$30,'Расчёт закупки'!$K$30)*IF(INDEX(прибыль,1)=$N28,(1+$P28),1/(1-$P28)))/$F25,2)</f>
        <v>12.05</v>
      </c>
      <c r="I25" s="330">
        <f>$F25*$H25</f>
        <v>24.1</v>
      </c>
      <c r="J25" s="330">
        <f>ROUND($I25*IF('Расчёт закупки'!$L27=INDEX(НДС,1),0.18/1.18,IF('Расчёт закупки'!$L27=INDEX(НДС,2),0.18,0)),2)</f>
        <v>4.34</v>
      </c>
      <c r="K25" s="239">
        <f>'Расчёт закупки'!$M27</f>
        <v>0</v>
      </c>
      <c r="M25" s="240" t="s">
        <v>278</v>
      </c>
      <c r="N25" s="240" t="s">
        <v>72</v>
      </c>
      <c r="O25" s="240" t="s">
        <v>160</v>
      </c>
      <c r="P25" s="242">
        <v>0.1</v>
      </c>
    </row>
    <row r="26" spans="2:16" ht="54" outlineLevel="2" x14ac:dyDescent="0.25">
      <c r="B26" s="238" t="s">
        <v>245</v>
      </c>
      <c r="C26" s="239">
        <f>'Расчёт закупки'!$B28</f>
        <v>0</v>
      </c>
      <c r="D26" s="239">
        <f>'Расчёт закупки'!$C28</f>
        <v>0</v>
      </c>
      <c r="E26" s="239" t="str">
        <f>'Расчёт закупки'!$D28&amp;" - "&amp;'Расчёт закупки'!$E28/$F$25&amp;" "&amp;'Расчёт закупки'!$F28</f>
        <v xml:space="preserve">В сборку входят все товары, у которых индексы без последней числовой группы равны и найден заголовок комплекта. Например - "1.4.0", "1.4.1", "1.4.2", "1.4.4" и т.д. - 3 </v>
      </c>
      <c r="F26" s="340"/>
      <c r="G26" s="340"/>
      <c r="H26" s="331"/>
      <c r="I26" s="331"/>
      <c r="J26" s="331"/>
      <c r="K26" s="239">
        <f>'Расчёт закупки'!$M28</f>
        <v>0</v>
      </c>
      <c r="M26" s="240" t="s">
        <v>279</v>
      </c>
      <c r="N26" s="240" t="s">
        <v>72</v>
      </c>
      <c r="O26" s="240" t="s">
        <v>160</v>
      </c>
      <c r="P26" s="242">
        <v>0.1</v>
      </c>
    </row>
    <row r="27" spans="2:16" ht="54" outlineLevel="2" x14ac:dyDescent="0.25">
      <c r="B27" s="238" t="s">
        <v>247</v>
      </c>
      <c r="C27" s="239">
        <f>'Расчёт закупки'!$B29</f>
        <v>0</v>
      </c>
      <c r="D27" s="239">
        <f>'Расчёт закупки'!$C29</f>
        <v>0</v>
      </c>
      <c r="E27" s="239" t="str">
        <f>'Расчёт закупки'!$D29&amp;" - "&amp;'Расчёт закупки'!$E29/$F$25&amp;" "&amp;'Расчёт закупки'!$F29</f>
        <v xml:space="preserve">Количество комплектов берётся равным количеству, указанным в заголовке комплекта. Если ячейка с количеством пуста, то макрос вычисляет наибольший общий делитель всех товаров в комплекте - 1 </v>
      </c>
      <c r="F27" s="340"/>
      <c r="G27" s="340"/>
      <c r="H27" s="331"/>
      <c r="I27" s="331"/>
      <c r="J27" s="331"/>
      <c r="K27" s="239">
        <f>'Расчёт закупки'!$M29</f>
        <v>0</v>
      </c>
      <c r="M27" s="240" t="s">
        <v>280</v>
      </c>
      <c r="N27" s="240" t="s">
        <v>72</v>
      </c>
      <c r="O27" s="240" t="s">
        <v>160</v>
      </c>
      <c r="P27" s="242">
        <v>0.1</v>
      </c>
    </row>
    <row r="28" spans="2:16" ht="27" outlineLevel="2" x14ac:dyDescent="0.25">
      <c r="B28" s="238" t="s">
        <v>249</v>
      </c>
      <c r="C28" s="239">
        <f>'Расчёт закупки'!$B30</f>
        <v>0</v>
      </c>
      <c r="D28" s="239">
        <f>'Расчёт закупки'!$C30</f>
        <v>0</v>
      </c>
      <c r="E28" s="239" t="str">
        <f>'Расчёт закупки'!$D30&amp;" - "&amp;'Расчёт закупки'!$E30/$F$25&amp;" "&amp;'Расчёт закупки'!$F30</f>
        <v xml:space="preserve">У этой сборки НОД равен двум, а значит количество комплектов также приравнивается к двум - 2 </v>
      </c>
      <c r="F28" s="341"/>
      <c r="G28" s="341"/>
      <c r="H28" s="332"/>
      <c r="I28" s="332"/>
      <c r="J28" s="332"/>
      <c r="K28" s="239">
        <f>'Расчёт закупки'!$M30</f>
        <v>0</v>
      </c>
      <c r="M28" s="240" t="s">
        <v>281</v>
      </c>
      <c r="N28" s="240" t="s">
        <v>72</v>
      </c>
      <c r="O28" s="240" t="s">
        <v>160</v>
      </c>
      <c r="P28" s="242">
        <v>0.1</v>
      </c>
    </row>
    <row r="29" spans="2:16" ht="27" outlineLevel="1" x14ac:dyDescent="0.25">
      <c r="B29" s="238" t="s">
        <v>290</v>
      </c>
      <c r="C29" s="239" t="str">
        <f>'Расчёт закупки'!$B23</f>
        <v>Вендор 2</v>
      </c>
      <c r="D29" s="239">
        <f>'Расчёт закупки'!$C23</f>
        <v>0</v>
      </c>
      <c r="E29" s="239" t="str">
        <f>'Расчёт закупки'!$D23</f>
        <v>Этот товар не облагается НДС при закупке, и продаём мы его также - н/о НДС</v>
      </c>
      <c r="F29" s="240">
        <f>'Расчёт закупки'!$E23</f>
        <v>5</v>
      </c>
      <c r="G29" s="240">
        <f>'Расчёт закупки'!$F23</f>
        <v>0</v>
      </c>
      <c r="H29" s="241">
        <f>ROUND(IF(INDEX(источник,1)=$O29,'Расчёт закупки'!$G23,'Расчёт закупки'!$J23)*IF(включить_транспортные_расходы="да",1+доля_доставки,1)*IF(INDEX(прибыль,1)=$N29,(1+$P29),1/(1-$P29)),2)</f>
        <v>2.37</v>
      </c>
      <c r="I29" s="241">
        <f>$F29*$H29</f>
        <v>11.850000000000001</v>
      </c>
      <c r="J29" s="241">
        <f>ROUND($I29*IF('Расчёт закупки'!$L23=INDEX(НДС,1),0.18/1.18,IF('Расчёт закупки'!$L23=INDEX(НДС,2),0.18,0)),2)</f>
        <v>0</v>
      </c>
      <c r="K29" s="239">
        <f>'Расчёт закупки'!$M23</f>
        <v>0</v>
      </c>
      <c r="M29" s="240" t="s">
        <v>274</v>
      </c>
      <c r="N29" s="240" t="s">
        <v>72</v>
      </c>
      <c r="O29" s="240" t="s">
        <v>160</v>
      </c>
      <c r="P29" s="242">
        <v>0.1</v>
      </c>
    </row>
    <row r="30" spans="2:16" ht="40.5" outlineLevel="1" x14ac:dyDescent="0.25">
      <c r="B30" s="238" t="s">
        <v>291</v>
      </c>
      <c r="C30" s="239" t="str">
        <f>'Расчёт закупки'!$B24</f>
        <v>Вендор 2</v>
      </c>
      <c r="D30" s="239">
        <f>'Расчёт закупки'!$C24</f>
        <v>0</v>
      </c>
      <c r="E30" s="239" t="str">
        <f>'Расчёт закупки'!$D24</f>
        <v>Но можем продать его же и с НДС. Цена закупки увеличится, но перерасчёт произойдёт автоматически, дополнительных манипуляций не потребуется</v>
      </c>
      <c r="F30" s="240">
        <f>'Расчёт закупки'!$E24</f>
        <v>5</v>
      </c>
      <c r="G30" s="240">
        <f>'Расчёт закупки'!$F24</f>
        <v>0</v>
      </c>
      <c r="H30" s="241">
        <f>ROUND(IF(INDEX(источник,1)=$O30,'Расчёт закупки'!$G24,'Расчёт закупки'!$J24)*IF(включить_транспортные_расходы="да",1+доля_доставки,1)*IF(INDEX(прибыль,1)=$N30,(1+$P30),1/(1-$P30)),2)</f>
        <v>2.37</v>
      </c>
      <c r="I30" s="241">
        <f>$F30*$H30</f>
        <v>11.850000000000001</v>
      </c>
      <c r="J30" s="241">
        <f>ROUND($I30*IF('Расчёт закупки'!$L24=INDEX(НДС,1),0.18/1.18,IF('Расчёт закупки'!$L24=INDEX(НДС,2),0.18,0)),2)</f>
        <v>2.13</v>
      </c>
      <c r="K30" s="239">
        <f>'Расчёт закупки'!$M24</f>
        <v>0</v>
      </c>
      <c r="M30" s="240" t="s">
        <v>275</v>
      </c>
      <c r="N30" s="240" t="s">
        <v>72</v>
      </c>
      <c r="O30" s="240" t="s">
        <v>160</v>
      </c>
      <c r="P30" s="242">
        <v>0.1</v>
      </c>
    </row>
    <row r="31" spans="2:16" ht="40.5" outlineLevel="1" x14ac:dyDescent="0.25">
      <c r="B31" s="238" t="s">
        <v>292</v>
      </c>
      <c r="C31" s="239" t="str">
        <f>'Расчёт закупки'!$B25</f>
        <v>Вендор 2</v>
      </c>
      <c r="D31" s="239">
        <f>'Расчёт закупки'!$C25</f>
        <v>0</v>
      </c>
      <c r="E31" s="239" t="str">
        <f>'Расчёт закупки'!$D25</f>
        <v>А продать товар купленный с НДС как лицензии н/о НДС - нельзя, поэтому ячейка в столбце 10 выделена красным.</v>
      </c>
      <c r="F31" s="240">
        <f>'Расчёт закупки'!$E25</f>
        <v>1</v>
      </c>
      <c r="G31" s="240">
        <f>'Расчёт закупки'!$F25</f>
        <v>0</v>
      </c>
      <c r="H31" s="241">
        <f>ROUND(IF(INDEX(источник,1)=$O31,'Расчёт закупки'!$G25,'Расчёт закупки'!$J25)*IF(включить_транспортные_расходы="да",1+доля_доставки,1)*IF(INDEX(прибыль,1)=$N31,(1+$P31),1/(1-$P31)),2)</f>
        <v>0</v>
      </c>
      <c r="I31" s="241">
        <f>$F31*$H31</f>
        <v>0</v>
      </c>
      <c r="J31" s="241">
        <f>ROUND($I31*IF('Расчёт закупки'!$L25=INDEX(НДС,1),0.18/1.18,IF('Расчёт закупки'!$L25=INDEX(НДС,2),0.18,0)),2)</f>
        <v>0</v>
      </c>
      <c r="K31" s="239">
        <f>'Расчёт закупки'!$M25</f>
        <v>0</v>
      </c>
      <c r="M31" s="240" t="s">
        <v>276</v>
      </c>
      <c r="N31" s="240" t="s">
        <v>72</v>
      </c>
      <c r="O31" s="240" t="s">
        <v>160</v>
      </c>
      <c r="P31" s="242">
        <v>0.1</v>
      </c>
    </row>
    <row r="32" spans="2:16" x14ac:dyDescent="0.25">
      <c r="B32" s="336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32" s="337"/>
      <c r="D32" s="337"/>
      <c r="E32" s="337"/>
      <c r="F32" s="337"/>
      <c r="G32" s="337"/>
      <c r="H32" s="338"/>
      <c r="I32" s="246">
        <f>SUBTOTAL(9,I21:I31)</f>
        <v>65.680000000000007</v>
      </c>
      <c r="J32" s="246">
        <f>SUBTOTAL(9,J21:J31)</f>
        <v>9.68</v>
      </c>
      <c r="K32" s="246"/>
      <c r="M32" s="240"/>
      <c r="N32" s="240"/>
      <c r="O32" s="240"/>
      <c r="P32" s="242"/>
    </row>
    <row r="33" spans="2:16" x14ac:dyDescent="0.25">
      <c r="B33" s="245" t="s">
        <v>228</v>
      </c>
      <c r="C33" s="342" t="str">
        <f>'Расчёт закупки'!$D19</f>
        <v>Как можно заметить, заголовки выделяются полужирным шрифтом</v>
      </c>
      <c r="D33" s="342"/>
      <c r="E33" s="342"/>
      <c r="F33" s="342"/>
      <c r="G33" s="342"/>
      <c r="H33" s="342"/>
      <c r="I33" s="342"/>
      <c r="J33" s="342"/>
      <c r="K33" s="342"/>
      <c r="M33" s="240" t="s">
        <v>270</v>
      </c>
      <c r="N33" s="240" t="s">
        <v>72</v>
      </c>
      <c r="O33" s="240" t="s">
        <v>160</v>
      </c>
      <c r="P33" s="242">
        <v>0.1</v>
      </c>
    </row>
    <row r="34" spans="2:16" ht="27" outlineLevel="1" x14ac:dyDescent="0.25">
      <c r="B34" s="238" t="s">
        <v>255</v>
      </c>
      <c r="C34" s="239">
        <f>'Расчёт закупки'!$B33</f>
        <v>0</v>
      </c>
      <c r="D34" s="239">
        <f>'Расчёт закупки'!$C33</f>
        <v>0</v>
      </c>
      <c r="E34" s="239" t="str">
        <f>'Расчёт закупки'!$D33</f>
        <v>У этого товара и товара строкой ниже указан одинаковый индекс, что является ошибкой,</v>
      </c>
      <c r="F34" s="240">
        <f>'Расчёт закупки'!$E33</f>
        <v>0</v>
      </c>
      <c r="G34" s="240">
        <f>'Расчёт закупки'!$F33</f>
        <v>0</v>
      </c>
      <c r="H34" s="241">
        <f>ROUND(IF(INDEX(источник,1)=$O34,'Расчёт закупки'!$G33,'Расчёт закупки'!$J33)*IF(включить_транспортные_расходы="да",1+доля_доставки,1)*IF(INDEX(прибыль,1)=$N34,(1+$P34),1/(1-$P34)),2)</f>
        <v>2.0099999999999998</v>
      </c>
      <c r="I34" s="241">
        <f>$F34*$H34</f>
        <v>0</v>
      </c>
      <c r="J34" s="241">
        <f>ROUND($I34*IF('Расчёт закупки'!$L33=INDEX(НДС,1),0.18/1.18,IF('Расчёт закупки'!$L33=INDEX(НДС,2),0.18,0)),2)</f>
        <v>0</v>
      </c>
      <c r="K34" s="239">
        <f>'Расчёт закупки'!$M33</f>
        <v>0</v>
      </c>
      <c r="M34" s="240" t="s">
        <v>284</v>
      </c>
      <c r="N34" s="240" t="s">
        <v>72</v>
      </c>
      <c r="O34" s="240" t="s">
        <v>160</v>
      </c>
      <c r="P34" s="242">
        <v>0.1</v>
      </c>
    </row>
    <row r="35" spans="2:16" ht="54" outlineLevel="1" x14ac:dyDescent="0.25">
      <c r="B35" s="238" t="s">
        <v>255</v>
      </c>
      <c r="C35" s="239">
        <f>'Расчёт закупки'!$B34</f>
        <v>0</v>
      </c>
      <c r="D35" s="239">
        <f>'Расчёт закупки'!$C34</f>
        <v>0</v>
      </c>
      <c r="E35" s="239" t="str">
        <f>'Расчёт закупки'!$D34</f>
        <v>т.к. макрос не сможет определить какая из позиций следует первой. Таких ситуаций следует избегать. Для удобства ячейки с повторяющимися индексами выделяются красным.</v>
      </c>
      <c r="F35" s="240">
        <f>'Расчёт закупки'!$E34</f>
        <v>0</v>
      </c>
      <c r="G35" s="240">
        <f>'Расчёт закупки'!$F34</f>
        <v>0</v>
      </c>
      <c r="H35" s="241">
        <f>ROUND(IF(INDEX(источник,1)=$O35,'Расчёт закупки'!$G34,'Расчёт закупки'!$J34)*IF(включить_транспортные_расходы="да",1+доля_доставки,1)*IF(INDEX(прибыль,1)=$N35,(1+$P35),1/(1-$P35)),2)</f>
        <v>2.0099999999999998</v>
      </c>
      <c r="I35" s="241">
        <f>$F35*$H35</f>
        <v>0</v>
      </c>
      <c r="J35" s="241">
        <f>ROUND($I35*IF('Расчёт закупки'!$L34=INDEX(НДС,1),0.18/1.18,IF('Расчёт закупки'!$L34=INDEX(НДС,2),0.18,0)),2)</f>
        <v>0</v>
      </c>
      <c r="K35" s="239">
        <f>'Расчёт закупки'!$M34</f>
        <v>0</v>
      </c>
      <c r="M35" s="240" t="s">
        <v>285</v>
      </c>
      <c r="N35" s="240" t="s">
        <v>72</v>
      </c>
      <c r="O35" s="240" t="s">
        <v>160</v>
      </c>
      <c r="P35" s="242">
        <v>0.1</v>
      </c>
    </row>
    <row r="36" spans="2:16" ht="94.5" outlineLevel="1" x14ac:dyDescent="0.25">
      <c r="B36" s="238" t="s">
        <v>293</v>
      </c>
      <c r="C36" s="239">
        <f>'Расчёт закупки'!$B35</f>
        <v>0</v>
      </c>
      <c r="D36" s="239">
        <f>'Расчёт закупки'!$C35</f>
        <v>0</v>
      </c>
      <c r="E36" s="239" t="str">
        <f>'Расчёт закупки'!$D35</f>
        <v>У этого товара очень большая маржа (так держать!), что легко заметить по гистограмме в столбце 14, но т.к. прибыль рассчитывается как скидка от GPL, то в столбце 13 гистограмма будет в красной зоне. Это нормально, гистограмма в столбце 13 нужна только для удобства выделения ячеек с различными значениями процента</v>
      </c>
      <c r="F36" s="240">
        <f>'Расчёт закупки'!$E35</f>
        <v>1</v>
      </c>
      <c r="G36" s="240">
        <f>'Расчёт закупки'!$F35</f>
        <v>0</v>
      </c>
      <c r="H36" s="241">
        <f>ROUND(IF(INDEX(источник,1)=$O36,'Расчёт закупки'!$G35,'Расчёт закупки'!$J35)*IF(включить_транспортные_расходы="да",1+доля_доставки,1)*IF(INDEX(прибыль,1)=$N36,(1+$P36),1/(1-$P36)),2)</f>
        <v>2.0099999999999998</v>
      </c>
      <c r="I36" s="241">
        <f>$F36*$H36</f>
        <v>2.0099999999999998</v>
      </c>
      <c r="J36" s="241">
        <f>ROUND($I36*IF('Расчёт закупки'!$L35=INDEX(НДС,1),0.18/1.18,IF('Расчёт закупки'!$L35=INDEX(НДС,2),0.18,0)),2)</f>
        <v>0.36</v>
      </c>
      <c r="K36" s="239">
        <f>'Расчёт закупки'!$M35</f>
        <v>0</v>
      </c>
      <c r="M36" s="240" t="s">
        <v>286</v>
      </c>
      <c r="N36" s="240" t="s">
        <v>72</v>
      </c>
      <c r="O36" s="240" t="s">
        <v>160</v>
      </c>
      <c r="P36" s="242">
        <v>0.1</v>
      </c>
    </row>
    <row r="37" spans="2:16" ht="27" outlineLevel="1" x14ac:dyDescent="0.25">
      <c r="B37" s="238" t="s">
        <v>258</v>
      </c>
      <c r="C37" s="239">
        <f>'Расчёт закупки'!$B36</f>
        <v>0</v>
      </c>
      <c r="D37" s="239">
        <f>'Расчёт закупки'!$C36</f>
        <v>0</v>
      </c>
      <c r="E37" s="239" t="str">
        <f>'Расчёт закупки'!$D36</f>
        <v>Возможны небольшие ошибки округления.
C'est la vie</v>
      </c>
      <c r="F37" s="240">
        <f>'Расчёт закупки'!$E36</f>
        <v>0</v>
      </c>
      <c r="G37" s="240">
        <f>'Расчёт закупки'!$F36</f>
        <v>0</v>
      </c>
      <c r="H37" s="241">
        <f>ROUND(IF(INDEX(источник,1)=$O37,'Расчёт закупки'!$G36,'Расчёт закупки'!$J36)*IF(включить_транспортные_расходы="да",1+доля_доставки,1)*IF(INDEX(прибыль,1)=$N37,(1+$P37),1/(1-$P37)),2)</f>
        <v>0</v>
      </c>
      <c r="I37" s="241">
        <f>$F37*$H37</f>
        <v>0</v>
      </c>
      <c r="J37" s="241">
        <f>ROUND($I37*IF('Расчёт закупки'!$L36=INDEX(НДС,1),0.18/1.18,IF('Расчёт закупки'!$L36=INDEX(НДС,2),0.18,0)),2)</f>
        <v>0</v>
      </c>
      <c r="K37" s="239">
        <f>'Расчёт закупки'!$M36</f>
        <v>0</v>
      </c>
      <c r="M37" s="240" t="s">
        <v>287</v>
      </c>
      <c r="N37" s="240" t="s">
        <v>72</v>
      </c>
      <c r="O37" s="240" t="s">
        <v>160</v>
      </c>
      <c r="P37" s="242">
        <v>0.1</v>
      </c>
    </row>
    <row r="38" spans="2:16" x14ac:dyDescent="0.25">
      <c r="B38" s="336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38" s="337"/>
      <c r="D38" s="337"/>
      <c r="E38" s="337"/>
      <c r="F38" s="337"/>
      <c r="G38" s="337"/>
      <c r="H38" s="338"/>
      <c r="I38" s="246">
        <f>SUBTOTAL(9,I33:I37)</f>
        <v>2.0099999999999998</v>
      </c>
      <c r="J38" s="246">
        <f>SUBTOTAL(9,J33:J37)</f>
        <v>0.36</v>
      </c>
      <c r="K38" s="246"/>
      <c r="M38" s="240"/>
      <c r="N38" s="240"/>
      <c r="O38" s="240"/>
      <c r="P38" s="242"/>
    </row>
    <row r="39" spans="2:16" ht="51" customHeight="1" x14ac:dyDescent="0.25">
      <c r="B39" s="245" t="s">
        <v>230</v>
      </c>
      <c r="C39" s="342" t="str">
        <f>'Расчёт закупки'!$D20</f>
        <v xml:space="preserve">Если у заголовка вычислена цена закупки, НДС и другие параметры расчёта стоимости закупки, то ячейки суммы закупки обнуляются, а сами они выделяются красным. Это сделано потому, что заголовки не участвуют в формировании КП, их нельзя продать. </v>
      </c>
      <c r="D39" s="342"/>
      <c r="E39" s="342"/>
      <c r="F39" s="342"/>
      <c r="G39" s="342"/>
      <c r="H39" s="342"/>
      <c r="I39" s="342"/>
      <c r="J39" s="342"/>
      <c r="K39" s="342"/>
      <c r="M39" s="240" t="s">
        <v>271</v>
      </c>
      <c r="N39" s="240" t="s">
        <v>72</v>
      </c>
      <c r="O39" s="240" t="s">
        <v>160</v>
      </c>
      <c r="P39" s="242">
        <v>0.1</v>
      </c>
    </row>
    <row r="40" spans="2:16" ht="84" customHeight="1" outlineLevel="1" x14ac:dyDescent="0.25">
      <c r="B40" s="238" t="s">
        <v>295</v>
      </c>
      <c r="C40" s="333" t="str">
        <f>'Расчёт закупки'!$D31</f>
        <v>Налогообложение всей сборки устанавливается у её заголовка. Налогообложение товаров в её составе должно быть одинаковым, поэтому указание разных способов расчёта НДС у разных товаров приведёт к неправильному расчёту, будьте внимательны.</v>
      </c>
      <c r="D40" s="334"/>
      <c r="E40" s="335"/>
      <c r="F40" s="339">
        <f>'Расчёт закупки'!$E31</f>
        <v>1</v>
      </c>
      <c r="G40" s="339" t="str">
        <f>INDEX(ед_изм,2)</f>
        <v>компл</v>
      </c>
      <c r="H40" s="330">
        <f>ROUND(IF(включить_транспортные_расходы="да",1+доля_доставки,1)*SUM(IF(INDEX(источник,1)=$O40,'Расчёт закупки'!$H$31,'Расчёт закупки'!$K$31)*IF(INDEX(прибыль,1)=$N40,(1+$P40),1/(1-$P40)),IF(INDEX(источник,1)=$O41,'Расчёт закупки'!$H$32,'Расчёт закупки'!$K$32)*IF(INDEX(прибыль,1)=$N41,(1+$P41),1/(1-$P41)))/$F40,2)</f>
        <v>6.02</v>
      </c>
      <c r="I40" s="330">
        <f>$F40*$H40</f>
        <v>6.02</v>
      </c>
      <c r="J40" s="330">
        <f>ROUND($I40*IF('Расчёт закупки'!$L31=INDEX(НДС,1),0.18/1.18,IF('Расчёт закупки'!$L31=INDEX(НДС,2),0.18,0)),2)</f>
        <v>1.08</v>
      </c>
      <c r="K40" s="239">
        <f>'Расчёт закупки'!$M31</f>
        <v>0</v>
      </c>
      <c r="M40" s="240" t="s">
        <v>282</v>
      </c>
      <c r="N40" s="240" t="s">
        <v>72</v>
      </c>
      <c r="O40" s="240" t="s">
        <v>160</v>
      </c>
      <c r="P40" s="242">
        <v>0.1</v>
      </c>
    </row>
    <row r="41" spans="2:16" ht="54" outlineLevel="2" x14ac:dyDescent="0.25">
      <c r="B41" s="238" t="s">
        <v>253</v>
      </c>
      <c r="C41" s="239">
        <f>'Расчёт закупки'!$B32</f>
        <v>0</v>
      </c>
      <c r="D41" s="239">
        <f>'Расчёт закупки'!$C32</f>
        <v>0</v>
      </c>
      <c r="E41" s="239" t="str">
        <f>'Расчёт закупки'!$D32&amp;" - "&amp;'Расчёт закупки'!$E32/$F$40&amp;" "&amp;'Расчёт закупки'!$F32</f>
        <v xml:space="preserve">Т.к. у заголовка этой сборки не был указан способ расчёта НДС, то ячейка в столбце 10 выделена красным, а НДС всей сборки будет равен нулю (см. примечание на листе "КП 23.09.2017 21.06.37") - 2 </v>
      </c>
      <c r="F41" s="341"/>
      <c r="G41" s="341"/>
      <c r="H41" s="332"/>
      <c r="I41" s="332"/>
      <c r="J41" s="332"/>
      <c r="K41" s="239">
        <f>'Расчёт закупки'!$M32</f>
        <v>0</v>
      </c>
      <c r="M41" s="240" t="s">
        <v>283</v>
      </c>
      <c r="N41" s="240" t="s">
        <v>72</v>
      </c>
      <c r="O41" s="240" t="s">
        <v>160</v>
      </c>
      <c r="P41" s="242">
        <v>0.1</v>
      </c>
    </row>
    <row r="42" spans="2:16" x14ac:dyDescent="0.25">
      <c r="B42" s="336" t="str">
        <f>"ПОДЫТОГ"&amp;IF(включить_НДС&lt;&gt;INDEX(НДС,3)," "&amp;включить_НДС,"")&amp;", "&amp;INDEX(валюта_кп,MATCH(валюта_расчёта,валюта,0))&amp;":"</f>
        <v>ПОДЫТОГ без НДС, долларов США:</v>
      </c>
      <c r="C42" s="337"/>
      <c r="D42" s="337"/>
      <c r="E42" s="337"/>
      <c r="F42" s="337"/>
      <c r="G42" s="337"/>
      <c r="H42" s="338"/>
      <c r="I42" s="246">
        <f>SUBTOTAL(9,I39:I41)</f>
        <v>6.02</v>
      </c>
      <c r="J42" s="246">
        <f>SUBTOTAL(9,J39:J41)</f>
        <v>1.08</v>
      </c>
      <c r="K42" s="246"/>
      <c r="M42" s="247"/>
      <c r="N42" s="247"/>
      <c r="O42" s="247"/>
      <c r="P42" s="248"/>
    </row>
    <row r="43" spans="2:16" x14ac:dyDescent="0.25">
      <c r="B43" s="336" t="str">
        <f>"ИТОГО "&amp;IF(включить_НДС&lt;&gt;INDEX(НДС,3),включить_НДС,"(НДС не облагается в соответствии с пп.26 ч.2 ст.149 НК РФ)")&amp;", "&amp;INDEX(валюта_кп,MATCH(валюта_расчёта,валюта,0))&amp;":"</f>
        <v>ИТОГО без НДС, долларов США:</v>
      </c>
      <c r="C43" s="337"/>
      <c r="D43" s="337"/>
      <c r="E43" s="337"/>
      <c r="F43" s="337"/>
      <c r="G43" s="337"/>
      <c r="H43" s="338"/>
      <c r="I43" s="246">
        <f>SUBTOTAL(9,I21:I42)</f>
        <v>73.710000000000008</v>
      </c>
      <c r="J43" s="246">
        <f>SUBTOTAL(9,J21:J42)</f>
        <v>11.12</v>
      </c>
      <c r="K43" s="246"/>
    </row>
  </sheetData>
  <sortState ref="B21:P39">
    <sortCondition ref="B21"/>
  </sortState>
  <dataConsolidate/>
  <mergeCells count="19">
    <mergeCell ref="C21:K21"/>
    <mergeCell ref="B43:H43"/>
    <mergeCell ref="C33:K33"/>
    <mergeCell ref="B38:H38"/>
    <mergeCell ref="C39:K39"/>
    <mergeCell ref="B42:H42"/>
    <mergeCell ref="F40:F41"/>
    <mergeCell ref="G40:G41"/>
    <mergeCell ref="H40:H41"/>
    <mergeCell ref="I40:I41"/>
    <mergeCell ref="J40:J41"/>
    <mergeCell ref="C40:E40"/>
    <mergeCell ref="J25:J28"/>
    <mergeCell ref="C25:E25"/>
    <mergeCell ref="B32:H32"/>
    <mergeCell ref="F25:F28"/>
    <mergeCell ref="G25:G28"/>
    <mergeCell ref="H25:H28"/>
    <mergeCell ref="I25:I28"/>
  </mergeCells>
  <conditionalFormatting sqref="N21:N42">
    <cfRule type="containsText" dxfId="3" priority="1" stopIfTrue="1" operator="containsText" text="наценка">
      <formula>NOT(ISERROR(SEARCH("наценка",N21)))</formula>
    </cfRule>
    <cfRule type="containsText" dxfId="2" priority="2" stopIfTrue="1" operator="containsText" text="маржа">
      <formula>NOT(ISERROR(SEARCH("маржа",N21)))</formula>
    </cfRule>
  </conditionalFormatting>
  <conditionalFormatting sqref="O21:O42">
    <cfRule type="containsText" dxfId="1" priority="3" stopIfTrue="1" operator="containsText" text="GPL">
      <formula>NOT(ISERROR(SEARCH("GPL",O21)))</formula>
    </cfRule>
    <cfRule type="containsText" dxfId="0" priority="4" stopIfTrue="1" operator="containsText" text="вход">
      <formula>NOT(ISERROR(SEARCH("вход",O21)))</formula>
    </cfRule>
  </conditionalFormatting>
  <conditionalFormatting sqref="P21:P42">
    <cfRule type="colorScale" priority="5">
      <colorScale>
        <cfvo type="num" val="0"/>
        <cfvo type="num" val="0.1"/>
        <cfvo type="num" val="0.3"/>
        <color rgb="FFFF5050"/>
        <color rgb="FFFFFF99"/>
        <color rgb="FF339966"/>
      </colorScale>
    </cfRule>
  </conditionalFormatting>
  <dataValidations count="2">
    <dataValidation type="list" allowBlank="1" showInputMessage="1" showErrorMessage="1" sqref="N21:N42">
      <formula1>прибыль</formula1>
    </dataValidation>
    <dataValidation type="list" allowBlank="1" showInputMessage="1" showErrorMessage="1" sqref="O21:O42">
      <formula1>источник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p/n">
              <controlPr defaultSize="0" autoFill="0" autoLine="0" autoPict="0" macro="[0]!SalesColumns_Click" altText="3">
                <anchor>
                  <from>
                    <xdr:col>4</xdr:col>
                    <xdr:colOff>19050</xdr:colOff>
                    <xdr:row>4</xdr:row>
                    <xdr:rowOff>152400</xdr:rowOff>
                  </from>
                  <to>
                    <xdr:col>4</xdr:col>
                    <xdr:colOff>1343025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Наименование">
              <controlPr defaultSize="0" autoFill="0" autoLine="0" autoPict="0" macro="[0]!SalesColumns_Click" altText="4">
                <anchor>
                  <from>
                    <xdr:col>4</xdr:col>
                    <xdr:colOff>19050</xdr:colOff>
                    <xdr:row>5</xdr:row>
                    <xdr:rowOff>161925</xdr:rowOff>
                  </from>
                  <to>
                    <xdr:col>4</xdr:col>
                    <xdr:colOff>1343025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Кол-во">
              <controlPr defaultSize="0" autoFill="0" autoLine="0" autoPict="0" macro="[0]!SalesColumns_Click" altText="5">
                <anchor>
                  <from>
                    <xdr:col>4</xdr:col>
                    <xdr:colOff>19050</xdr:colOff>
                    <xdr:row>6</xdr:row>
                    <xdr:rowOff>171450</xdr:rowOff>
                  </from>
                  <to>
                    <xdr:col>4</xdr:col>
                    <xdr:colOff>1343025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Ед. изм.">
              <controlPr defaultSize="0" autoFill="0" autoLine="0" autoPict="0" macro="[0]!SalesColumns_Click" altText="6">
                <anchor>
                  <from>
                    <xdr:col>4</xdr:col>
                    <xdr:colOff>19050</xdr:colOff>
                    <xdr:row>8</xdr:row>
                    <xdr:rowOff>0</xdr:rowOff>
                  </from>
                  <to>
                    <xdr:col>4</xdr:col>
                    <xdr:colOff>1343025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Сумма">
              <controlPr defaultSize="0" autoFill="0" autoLine="0" autoPict="0" macro="[0]!SalesColumns_Click" altText="8">
                <anchor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4</xdr:col>
                    <xdr:colOff>1343025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Цена">
              <controlPr defaultSize="0" autoFill="0" autoLine="0" autoPict="0" macro="[0]!SalesColumns_Click" altText="7">
                <anchor>
                  <from>
                    <xdr:col>4</xdr:col>
                    <xdr:colOff>19050</xdr:colOff>
                    <xdr:row>9</xdr:row>
                    <xdr:rowOff>9525</xdr:rowOff>
                  </from>
                  <to>
                    <xdr:col>4</xdr:col>
                    <xdr:colOff>1343025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НДС">
              <controlPr defaultSize="0" autoFill="0" autoLine="0" autoPict="0" macro="[0]!SalesColumns_Click" altText="9">
                <anchor>
                  <from>
                    <xdr:col>4</xdr:col>
                    <xdr:colOff>19050</xdr:colOff>
                    <xdr:row>11</xdr:row>
                    <xdr:rowOff>38100</xdr:rowOff>
                  </from>
                  <to>
                    <xdr:col>4</xdr:col>
                    <xdr:colOff>1343025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Срок доставки">
              <controlPr defaultSize="0" autoFill="0" autoLine="0" autoPict="0" macro="[0]!SalesColumns_Click" altText="10">
                <anchor>
                  <from>
                    <xdr:col>4</xdr:col>
                    <xdr:colOff>19050</xdr:colOff>
                    <xdr:row>12</xdr:row>
                    <xdr:rowOff>47625</xdr:rowOff>
                  </from>
                  <to>
                    <xdr:col>4</xdr:col>
                    <xdr:colOff>1343025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№">
              <controlPr defaultSize="0" autoFill="0" autoLine="0" autoPict="0" macro="[0]!SalesColumns_Click" altText="1">
                <anchor>
                  <from>
                    <xdr:col>4</xdr:col>
                    <xdr:colOff>19050</xdr:colOff>
                    <xdr:row>2</xdr:row>
                    <xdr:rowOff>123825</xdr:rowOff>
                  </from>
                  <to>
                    <xdr:col>4</xdr:col>
                    <xdr:colOff>1343025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Производитель">
              <controlPr defaultSize="0" autoFill="0" autoLine="0" autoPict="0" macro="[0]!SalesColumns_Click" altText="2">
                <anchor>
                  <from>
                    <xdr:col>4</xdr:col>
                    <xdr:colOff>19050</xdr:colOff>
                    <xdr:row>3</xdr:row>
                    <xdr:rowOff>133350</xdr:rowOff>
                  </from>
                  <to>
                    <xdr:col>4</xdr:col>
                    <xdr:colOff>1343025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Список _НДС_">
              <controlPr defaultSize="0" autoLine="0" autoPict="0" macro="[0]!VATComboBox_Change" altText="VATComboBox">
                <anchor>
                  <from>
                    <xdr:col>4</xdr:col>
                    <xdr:colOff>2647950</xdr:colOff>
                    <xdr:row>4</xdr:row>
                    <xdr:rowOff>0</xdr:rowOff>
                  </from>
                  <to>
                    <xdr:col>4</xdr:col>
                    <xdr:colOff>3543300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Включить доставку">
              <controlPr defaultSize="0" autoFill="0" autoLine="0" autoPict="0" macro="[0]!DeliveryCostsCheckbox_Change">
                <anchor>
                  <from>
                    <xdr:col>4</xdr:col>
                    <xdr:colOff>1647825</xdr:colOff>
                    <xdr:row>5</xdr:row>
                    <xdr:rowOff>66675</xdr:rowOff>
                  </from>
                  <to>
                    <xdr:col>4</xdr:col>
                    <xdr:colOff>3552825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" name="Окно группы: колонки таблицы КП">
              <controlPr defaultSize="0" autoFill="0" autoPict="0">
                <anchor>
                  <from>
                    <xdr:col>1</xdr:col>
                    <xdr:colOff>257175</xdr:colOff>
                    <xdr:row>1</xdr:row>
                    <xdr:rowOff>161925</xdr:rowOff>
                  </from>
                  <to>
                    <xdr:col>4</xdr:col>
                    <xdr:colOff>1438275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7" name="Список _валюта_">
              <controlPr defaultSize="0" autoLine="0" autoPict="0" macro="[0]!CurrencyComboBox_Change" altText="CurrencyComboBox">
                <anchor>
                  <from>
                    <xdr:col>4</xdr:col>
                    <xdr:colOff>2647950</xdr:colOff>
                    <xdr:row>2</xdr:row>
                    <xdr:rowOff>123825</xdr:rowOff>
                  </from>
                  <to>
                    <xdr:col>4</xdr:col>
                    <xdr:colOff>3543300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Маржа">
              <controlPr defaultSize="0" autoFill="0" autoLine="0" autoPict="0" altText="маржа">
                <anchor>
                  <from>
                    <xdr:col>4</xdr:col>
                    <xdr:colOff>1752600</xdr:colOff>
                    <xdr:row>10</xdr:row>
                    <xdr:rowOff>28575</xdr:rowOff>
                  </from>
                  <to>
                    <xdr:col>4</xdr:col>
                    <xdr:colOff>2447925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Окно группы: Расчёт прибыли">
              <controlPr defaultSize="0" autoFill="0" autoPict="0">
                <anchor>
                  <from>
                    <xdr:col>4</xdr:col>
                    <xdr:colOff>1543050</xdr:colOff>
                    <xdr:row>8</xdr:row>
                    <xdr:rowOff>0</xdr:rowOff>
                  </from>
                  <to>
                    <xdr:col>4</xdr:col>
                    <xdr:colOff>3648075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Наценка">
              <controlPr defaultSize="0" autoFill="0" autoLine="0" autoPict="0" altText="наценка">
                <anchor>
                  <from>
                    <xdr:col>4</xdr:col>
                    <xdr:colOff>1752600</xdr:colOff>
                    <xdr:row>9</xdr:row>
                    <xdr:rowOff>66675</xdr:rowOff>
                  </from>
                  <to>
                    <xdr:col>4</xdr:col>
                    <xdr:colOff>2447925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Кнопка _рассчитать_">
              <controlPr defaultSize="0" autoFill="0" autoPict="0" macro="[0]!ProfitButton_Click">
                <anchor>
                  <from>
                    <xdr:col>4</xdr:col>
                    <xdr:colOff>2647950</xdr:colOff>
                    <xdr:row>12</xdr:row>
                    <xdr:rowOff>0</xdr:rowOff>
                  </from>
                  <to>
                    <xdr:col>4</xdr:col>
                    <xdr:colOff>3543300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2" name="Окно группы: Параметры расчёта">
              <controlPr defaultSize="0" autoFill="0" autoPict="0">
                <anchor>
                  <from>
                    <xdr:col>4</xdr:col>
                    <xdr:colOff>1543050</xdr:colOff>
                    <xdr:row>1</xdr:row>
                    <xdr:rowOff>161925</xdr:rowOff>
                  </from>
                  <to>
                    <xdr:col>4</xdr:col>
                    <xdr:colOff>3648075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3" name="Метка _валюта_">
              <controlPr defaultSize="0" autoFill="0" autoLine="0" autoPict="0">
                <anchor>
                  <from>
                    <xdr:col>4</xdr:col>
                    <xdr:colOff>1647825</xdr:colOff>
                    <xdr:row>2</xdr:row>
                    <xdr:rowOff>123825</xdr:rowOff>
                  </from>
                  <to>
                    <xdr:col>4</xdr:col>
                    <xdr:colOff>2543175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4" name="Метка _НДС_">
              <controlPr defaultSize="0" autoFill="0" autoLine="0" autoPict="0">
                <anchor>
                  <from>
                    <xdr:col>4</xdr:col>
                    <xdr:colOff>1647825</xdr:colOff>
                    <xdr:row>4</xdr:row>
                    <xdr:rowOff>0</xdr:rowOff>
                  </from>
                  <to>
                    <xdr:col>4</xdr:col>
                    <xdr:colOff>2543175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5" name="Окно группы: Способ расчёта">
              <controlPr defaultSize="0" autoFill="0" autoPict="0">
                <anchor>
                  <from>
                    <xdr:col>4</xdr:col>
                    <xdr:colOff>1647825</xdr:colOff>
                    <xdr:row>8</xdr:row>
                    <xdr:rowOff>152400</xdr:rowOff>
                  </from>
                  <to>
                    <xdr:col>4</xdr:col>
                    <xdr:colOff>2543175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6" name="От входа">
              <controlPr defaultSize="0" autoFill="0" autoLine="0" autoPict="0" altText="вход">
                <anchor>
                  <from>
                    <xdr:col>4</xdr:col>
                    <xdr:colOff>2752725</xdr:colOff>
                    <xdr:row>10</xdr:row>
                    <xdr:rowOff>28575</xdr:rowOff>
                  </from>
                  <to>
                    <xdr:col>4</xdr:col>
                    <xdr:colOff>3448050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7" name="От GPL">
              <controlPr defaultSize="0" autoFill="0" autoLine="0" autoPict="0" altText="GPL">
                <anchor>
                  <from>
                    <xdr:col>4</xdr:col>
                    <xdr:colOff>2752725</xdr:colOff>
                    <xdr:row>9</xdr:row>
                    <xdr:rowOff>66675</xdr:rowOff>
                  </from>
                  <to>
                    <xdr:col>4</xdr:col>
                    <xdr:colOff>3448050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28" name="Окно группы: Источник">
              <controlPr defaultSize="0" autoFill="0" autoPict="0">
                <anchor>
                  <from>
                    <xdr:col>4</xdr:col>
                    <xdr:colOff>2647950</xdr:colOff>
                    <xdr:row>8</xdr:row>
                    <xdr:rowOff>152400</xdr:rowOff>
                  </from>
                  <to>
                    <xdr:col>4</xdr:col>
                    <xdr:colOff>3543300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29" name="Кнопка: в excel">
              <controlPr defaultSize="0" autoFill="0" autoPict="0" macro="[0]!excelExportButton_Click">
                <anchor>
                  <from>
                    <xdr:col>4</xdr:col>
                    <xdr:colOff>2647950</xdr:colOff>
                    <xdr:row>14</xdr:row>
                    <xdr:rowOff>133350</xdr:rowOff>
                  </from>
                  <to>
                    <xdr:col>4</xdr:col>
                    <xdr:colOff>3543300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30" name="Кнопка: в word">
              <controlPr defaultSize="0" autoFill="0" autoPict="0" macro="[0]!wordExportButton_Click">
                <anchor>
                  <from>
                    <xdr:col>4</xdr:col>
                    <xdr:colOff>1647825</xdr:colOff>
                    <xdr:row>14</xdr:row>
                    <xdr:rowOff>133350</xdr:rowOff>
                  </from>
                  <to>
                    <xdr:col>4</xdr:col>
                    <xdr:colOff>2543175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31" name="Окно группы: Экспортировать">
              <controlPr defaultSize="0" autoFill="0" autoPict="0">
                <anchor>
                  <from>
                    <xdr:col>1</xdr:col>
                    <xdr:colOff>257175</xdr:colOff>
                    <xdr:row>14</xdr:row>
                    <xdr:rowOff>28575</xdr:rowOff>
                  </from>
                  <to>
                    <xdr:col>4</xdr:col>
                    <xdr:colOff>3648075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6BFC3D-D27D-49FD-8153-963B06C3F3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42</vt:i4>
      </vt:variant>
    </vt:vector>
  </HeadingPairs>
  <TitlesOfParts>
    <vt:vector size="47" baseType="lpstr">
      <vt:lpstr>Служебный</vt:lpstr>
      <vt:lpstr>WHAT'S NEW</vt:lpstr>
      <vt:lpstr>Лист согласования</vt:lpstr>
      <vt:lpstr>Расчёт закупки</vt:lpstr>
      <vt:lpstr>Расчёт продажи</vt:lpstr>
      <vt:lpstr>GPL</vt:lpstr>
      <vt:lpstr>валюта</vt:lpstr>
      <vt:lpstr>валюта_кп</vt:lpstr>
      <vt:lpstr>валюта_расчёта</vt:lpstr>
      <vt:lpstr>вес</vt:lpstr>
      <vt:lpstr>включить_НДС</vt:lpstr>
      <vt:lpstr>включить_транспортные_расходы</vt:lpstr>
      <vt:lpstr>выручка</vt:lpstr>
      <vt:lpstr>дата_текущего_курса</vt:lpstr>
      <vt:lpstr>динамика_курса_EUR</vt:lpstr>
      <vt:lpstr>динамика_курса_USD</vt:lpstr>
      <vt:lpstr>доля_доставки</vt:lpstr>
      <vt:lpstr>ед_изм</vt:lpstr>
      <vt:lpstr>источник</vt:lpstr>
      <vt:lpstr>контрагент</vt:lpstr>
      <vt:lpstr>курс_EUR_расчётный</vt:lpstr>
      <vt:lpstr>курс_EUR_ЦБ</vt:lpstr>
      <vt:lpstr>курс_USD_расчётный</vt:lpstr>
      <vt:lpstr>курс_USD_ЦБ</vt:lpstr>
      <vt:lpstr>маржа</vt:lpstr>
      <vt:lpstr>менеджеры</vt:lpstr>
      <vt:lpstr>менеджеры_должность</vt:lpstr>
      <vt:lpstr>НДС</vt:lpstr>
      <vt:lpstr>обеспечение</vt:lpstr>
      <vt:lpstr>обеспечение_область</vt:lpstr>
      <vt:lpstr>объём</vt:lpstr>
      <vt:lpstr>отдел_закупок</vt:lpstr>
      <vt:lpstr>прибыль</vt:lpstr>
      <vt:lpstr>проектный_менеджер</vt:lpstr>
      <vt:lpstr>размер_НДС</vt:lpstr>
      <vt:lpstr>размер_НДС_закупки</vt:lpstr>
      <vt:lpstr>расчёт_курса</vt:lpstr>
      <vt:lpstr>расчёт_НДС</vt:lpstr>
      <vt:lpstr>себестоимость</vt:lpstr>
      <vt:lpstr>служ_колонки</vt:lpstr>
      <vt:lpstr>способы_проведения_тендеров</vt:lpstr>
      <vt:lpstr>стоимость_доставки</vt:lpstr>
      <vt:lpstr>тендер</vt:lpstr>
      <vt:lpstr>тендер_область</vt:lpstr>
      <vt:lpstr>тип_доставки</vt:lpstr>
      <vt:lpstr>условия_выполнения</vt:lpstr>
      <vt:lpstr>условия_оплаты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Василий Ковальчук</dc:creator>
  <cp:lastModifiedBy>Василий Ковальчук</cp:lastModifiedBy>
  <cp:lastPrinted>2017-08-20T23:47:18Z</cp:lastPrinted>
  <dcterms:created xsi:type="dcterms:W3CDTF">2006-09-16T00:00:00Z</dcterms:created>
  <dcterms:modified xsi:type="dcterms:W3CDTF">2017-11-01T13:26:08Z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